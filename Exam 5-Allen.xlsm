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codeName="ThisWorkbook"/>
  <mc:AlternateContent xmlns:mc="http://schemas.openxmlformats.org/markup-compatibility/2006">
    <mc:Choice Requires="x15">
      <x15ac:absPath xmlns:x15ac="http://schemas.microsoft.com/office/spreadsheetml/2010/11/ac" url="https://d.docs.live.net/deaa824c69636118/Spring 2021/"/>
    </mc:Choice>
  </mc:AlternateContent>
  <xr:revisionPtr revIDLastSave="686" documentId="13_ncr:1_{440CA1F5-7E44-4FD0-9AE6-2373E2092212}" xr6:coauthVersionLast="47" xr6:coauthVersionMax="47" xr10:uidLastSave="{C4A692C8-D3E4-4FEF-A3BD-3B6346BB666D}"/>
  <bookViews>
    <workbookView xWindow="0" yWindow="0" windowWidth="19200" windowHeight="11400" activeTab="2" xr2:uid="{00000000-000D-0000-FFFF-FFFF00000000}"/>
  </bookViews>
  <sheets>
    <sheet name="Note for the TA" sheetId="12" r:id="rId1"/>
    <sheet name="Instructions" sheetId="11" r:id="rId2"/>
    <sheet name="Dashboard" sheetId="4" r:id="rId3"/>
    <sheet name="Data ----&gt;" sheetId="13" r:id="rId4"/>
    <sheet name="2018 NYT BSL" sheetId="8" r:id="rId5"/>
    <sheet name="2019 NYT BSL" sheetId="7" r:id="rId6"/>
    <sheet name="2020 NYT BSL" sheetId="6" r:id="rId7"/>
    <sheet name="2021 NYT BSL" sheetId="5" r:id="rId8"/>
    <sheet name="Backup-----&gt;" sheetId="14" r:id="rId9"/>
    <sheet name="Sheet2" sheetId="3" r:id="rId10"/>
    <sheet name="Sheet4" sheetId="9" r:id="rId11"/>
    <sheet name="Time Tracker" sheetId="10" r:id="rId12"/>
    <sheet name="Sheet1" sheetId="1" r:id="rId13"/>
    <sheet name="VBA" sheetId="2" state="veryHidden" r:id="rId14"/>
  </sheets>
  <definedNames>
    <definedName name="authors">Sheet4!$B$3:$B$63</definedName>
    <definedName name="authors2018">'2018 NYT BSL'!$I$2:$I$35</definedName>
    <definedName name="authors2019">'2019 NYT BSL'!$I$2:$I$18</definedName>
    <definedName name="authors2020">'2020 NYT BSL'!$I$2:$I$32</definedName>
    <definedName name="authors2021">'2021 NYT BSL'!$J$2:$J$18</definedName>
    <definedName name="ExternalData_1" localSheetId="4" hidden="1">'2018 NYT BSL'!$A$1:$C$53</definedName>
    <definedName name="ExternalData_1" localSheetId="5" hidden="1">'2019 NYT BSL'!$A$1:$C$53</definedName>
    <definedName name="ExternalData_1" localSheetId="6" hidden="1">'2020 NYT BSL'!$A$1:$C$53</definedName>
    <definedName name="ExternalData_1" localSheetId="7" hidden="1">'2021 NYT BSL'!$A$1:$H$30</definedName>
    <definedName name="year">Sheet2!$S$3:$S$6</definedName>
    <definedName name="year1">Dashboard!$B$4</definedName>
    <definedName name="year2">Dashboard!$A$4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 i="4" l="1" a="1"/>
  <c r="G2" i="4" s="1"/>
  <c r="C7" i="9"/>
  <c r="C8" i="9"/>
  <c r="D2"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E2"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K5" i="4"/>
  <c r="D2" i="7"/>
  <c r="D3" i="7"/>
  <c r="D4" i="7"/>
  <c r="D5" i="7"/>
  <c r="D6" i="7"/>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E2" i="7"/>
  <c r="E3" i="7"/>
  <c r="E4" i="7"/>
  <c r="E5" i="7"/>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8" i="9" a="1"/>
  <c r="E58" i="9" s="1"/>
  <c r="E42" i="9" a="1"/>
  <c r="E42" i="9" s="1"/>
  <c r="E26" i="9" a="1"/>
  <c r="E26" i="9" s="1"/>
  <c r="E2" i="9" a="1"/>
  <c r="E2" i="9" s="1"/>
  <c r="K2" i="8" a="1"/>
  <c r="K2" i="8" s="1"/>
  <c r="D32" i="6"/>
  <c r="D49" i="8"/>
  <c r="I5" i="4" l="1"/>
  <c r="I4" i="4"/>
  <c r="K4" i="4"/>
  <c r="K2" i="4"/>
  <c r="I3" i="4"/>
  <c r="K3" i="4"/>
  <c r="G2" i="9" a="1"/>
  <c r="G2" i="9" s="1"/>
  <c r="O8" i="4" a="1"/>
  <c r="O8" i="4" s="1"/>
  <c r="Q8" i="4" s="1"/>
  <c r="G8" i="4" a="1"/>
  <c r="G8" i="4" s="1"/>
  <c r="I8" i="4" s="1"/>
  <c r="K8" i="4" a="1"/>
  <c r="K8" i="4" s="1"/>
  <c r="M8" i="4" s="1"/>
  <c r="E2" i="6"/>
  <c r="E3" i="6"/>
  <c r="E4" i="6"/>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D2" i="6"/>
  <c r="D3" i="6"/>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3" i="6"/>
  <c r="D34" i="6"/>
  <c r="D35" i="6"/>
  <c r="D36" i="6"/>
  <c r="D37" i="6"/>
  <c r="D38" i="6"/>
  <c r="D39" i="6"/>
  <c r="D40" i="6"/>
  <c r="D41" i="6"/>
  <c r="D42" i="6"/>
  <c r="D43" i="6"/>
  <c r="D44" i="6"/>
  <c r="D45" i="6"/>
  <c r="D46" i="6"/>
  <c r="D47" i="6"/>
  <c r="D48" i="6"/>
  <c r="D49" i="6"/>
  <c r="D50" i="6"/>
  <c r="D51" i="6"/>
  <c r="D52" i="6"/>
  <c r="D53" i="6"/>
  <c r="E2" i="8"/>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50" i="8"/>
  <c r="D51" i="8"/>
  <c r="D52" i="8"/>
  <c r="D53" i="8"/>
  <c r="I2" i="4" l="1"/>
  <c r="B8" i="4" a="1"/>
  <c r="B8" i="4" s="1"/>
  <c r="D8"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Jayson Kunzler</author>
  </authors>
  <commentList>
    <comment ref="A1" authorId="0" shapeId="0" xr:uid="{00000000-0006-0000-0000-000001000000}">
      <text>
        <r>
          <rPr>
            <b/>
            <i/>
            <sz val="16.5"/>
            <color indexed="16"/>
            <rFont val="Monotype Corsiva"/>
            <family val="4"/>
          </rPr>
          <t xml:space="preserve">"Till I die I will not remove mine integrity from me." </t>
        </r>
        <r>
          <rPr>
            <i/>
            <sz val="16"/>
            <color indexed="16"/>
            <rFont val="Monotype Corsiva"/>
            <family val="4"/>
          </rPr>
          <t xml:space="preserve"> </t>
        </r>
        <r>
          <rPr>
            <sz val="8"/>
            <color indexed="16"/>
            <rFont val="Tahoma"/>
            <family val="2"/>
          </rPr>
          <t>(Job 27:5)</t>
        </r>
        <r>
          <rPr>
            <sz val="12"/>
            <color indexed="16"/>
            <rFont val="Tahoma"/>
            <family val="2"/>
          </rPr>
          <t xml:space="preserve">
</t>
        </r>
        <r>
          <rPr>
            <sz val="8"/>
            <color indexed="16"/>
            <rFont val="Tahoma"/>
            <family val="2"/>
          </rPr>
          <t xml:space="preserve">
</t>
        </r>
        <r>
          <rPr>
            <b/>
            <sz val="11"/>
            <color indexed="16"/>
            <rFont val="Tahoma"/>
            <family val="2"/>
          </rPr>
          <t>This is an EXAM.</t>
        </r>
        <r>
          <rPr>
            <sz val="8"/>
            <color indexed="16"/>
            <rFont val="Tahoma"/>
            <family val="2"/>
          </rPr>
          <t xml:space="preserve">  It is a </t>
        </r>
        <r>
          <rPr>
            <b/>
            <i/>
            <sz val="11"/>
            <color indexed="16"/>
            <rFont val="Tahoma"/>
            <family val="2"/>
          </rPr>
          <t>dishonest violation</t>
        </r>
        <r>
          <rPr>
            <sz val="8"/>
            <color indexed="16"/>
            <rFont val="Tahoma"/>
            <family val="2"/>
          </rPr>
          <t xml:space="preserve"> of the BYU-Idaho Student Honor Code if you:
1) Remove, edit, hide, delete, or otherwise tamper with this WARNING banner and message.
2) View or receive this file (or </t>
        </r>
        <r>
          <rPr>
            <u/>
            <sz val="8"/>
            <color indexed="16"/>
            <rFont val="Tahoma"/>
            <family val="2"/>
          </rPr>
          <t>any portion</t>
        </r>
        <r>
          <rPr>
            <sz val="8"/>
            <color indexed="16"/>
            <rFont val="Tahoma"/>
            <family val="2"/>
          </rPr>
          <t xml:space="preserve"> of it) by email, downloading from the Internet, texting, electronic file sharing, or ANY OTHER means of electronic or printed distribution (except in the course as authorized).
3) Either post to the Internet, OR send, email, copy and paste, file share, video record, take screenshots, or otherwise distribute this file (or any portion of it), whether electronically or in print, to any current or future B215 student (unless you receive explicit individual permission from your B215 instructor).
4) Either ask </t>
        </r>
        <r>
          <rPr>
            <i/>
            <u/>
            <sz val="8"/>
            <color indexed="16"/>
            <rFont val="Tahoma"/>
            <family val="2"/>
          </rPr>
          <t>OR</t>
        </r>
        <r>
          <rPr>
            <sz val="8"/>
            <color indexed="16"/>
            <rFont val="Tahoma"/>
            <family val="2"/>
          </rPr>
          <t xml:space="preserve"> answer any questions about this </t>
        </r>
        <r>
          <rPr>
            <u/>
            <sz val="8"/>
            <color indexed="16"/>
            <rFont val="Tahoma"/>
            <family val="2"/>
          </rPr>
          <t>any</t>
        </r>
        <r>
          <rPr>
            <sz val="8"/>
            <color indexed="16"/>
            <rFont val="Tahoma"/>
            <family val="2"/>
          </rPr>
          <t xml:space="preserve"> questions that relate to </t>
        </r>
        <r>
          <rPr>
            <u/>
            <sz val="8"/>
            <color indexed="16"/>
            <rFont val="Tahoma"/>
            <family val="2"/>
          </rPr>
          <t>any</t>
        </r>
        <r>
          <rPr>
            <sz val="8"/>
            <color indexed="16"/>
            <rFont val="Tahoma"/>
            <family val="2"/>
          </rPr>
          <t xml:space="preserve"> aspect of this exam, including electronic questions sent through email, texting, posting on blogs or discussion forums, etc.
5) Look at any aspect or portion of this exam from any other current or past student.
</t>
        </r>
        <r>
          <rPr>
            <b/>
            <i/>
            <sz val="8"/>
            <color indexed="16"/>
            <rFont val="Tahoma"/>
            <family val="2"/>
          </rPr>
          <t>REPORTING VIOLATIONS:</t>
        </r>
        <r>
          <rPr>
            <sz val="8"/>
            <color indexed="16"/>
            <rFont val="Tahoma"/>
            <family val="2"/>
          </rPr>
          <t xml:space="preserve"> If you have received this file from anyone other than your instructor (or if you have witnessed any violations described above), you are obligated to report it immediately to the BYU-Idaho Student Honor Office.
Phone:  208-496-9300  (tell them the file is from the Business Management Dept.)
Email:  sho@byui.edu</t>
        </r>
      </text>
    </comment>
    <comment ref="A2" authorId="0" shapeId="0" xr:uid="{00000000-0006-0000-0000-000002000000}">
      <text>
        <r>
          <rPr>
            <b/>
            <i/>
            <sz val="16.5"/>
            <color indexed="16"/>
            <rFont val="Monotype Corsiva"/>
            <family val="4"/>
          </rPr>
          <t xml:space="preserve">"Till I die I will not remove mine integrity from me." </t>
        </r>
        <r>
          <rPr>
            <i/>
            <sz val="16"/>
            <color indexed="16"/>
            <rFont val="Monotype Corsiva"/>
            <family val="4"/>
          </rPr>
          <t xml:space="preserve"> </t>
        </r>
        <r>
          <rPr>
            <sz val="8"/>
            <color indexed="16"/>
            <rFont val="Tahoma"/>
            <family val="2"/>
          </rPr>
          <t>(Job 27:5)</t>
        </r>
        <r>
          <rPr>
            <sz val="12"/>
            <color indexed="16"/>
            <rFont val="Tahoma"/>
            <family val="2"/>
          </rPr>
          <t xml:space="preserve">
</t>
        </r>
        <r>
          <rPr>
            <sz val="8"/>
            <color indexed="16"/>
            <rFont val="Tahoma"/>
            <family val="2"/>
          </rPr>
          <t xml:space="preserve">
</t>
        </r>
        <r>
          <rPr>
            <b/>
            <sz val="11"/>
            <color indexed="16"/>
            <rFont val="Tahoma"/>
            <family val="2"/>
          </rPr>
          <t>This is an EXAM.</t>
        </r>
        <r>
          <rPr>
            <sz val="8"/>
            <color indexed="16"/>
            <rFont val="Tahoma"/>
            <family val="2"/>
          </rPr>
          <t xml:space="preserve">  It is a </t>
        </r>
        <r>
          <rPr>
            <b/>
            <i/>
            <sz val="11"/>
            <color indexed="16"/>
            <rFont val="Tahoma"/>
            <family val="2"/>
          </rPr>
          <t>dishonest violation</t>
        </r>
        <r>
          <rPr>
            <sz val="8"/>
            <color indexed="16"/>
            <rFont val="Tahoma"/>
            <family val="2"/>
          </rPr>
          <t xml:space="preserve"> of the BYU-Idaho Student Honor Code if you:
1) Remove, edit, hide, delete, or otherwise tamper with this WARNING banner and message.
2) View or receive this file (or </t>
        </r>
        <r>
          <rPr>
            <u/>
            <sz val="8"/>
            <color indexed="16"/>
            <rFont val="Tahoma"/>
            <family val="2"/>
          </rPr>
          <t>any portion</t>
        </r>
        <r>
          <rPr>
            <sz val="8"/>
            <color indexed="16"/>
            <rFont val="Tahoma"/>
            <family val="2"/>
          </rPr>
          <t xml:space="preserve"> of it) by email, downloading from the Internet, texting, electronic file sharing, or ANY OTHER means of electronic or printed distribution (except in the course as authorized).
3) Either post to the Internet, OR send, email, copy and paste, file share, video record, take screenshots, or otherwise distribute this file (or any portion of it), whether electronically or in print, to any current or future B215 student (unless you receive explicit individual permission from your B215 instructor).
4) Either ask </t>
        </r>
        <r>
          <rPr>
            <i/>
            <u/>
            <sz val="8"/>
            <color indexed="16"/>
            <rFont val="Tahoma"/>
            <family val="2"/>
          </rPr>
          <t>OR</t>
        </r>
        <r>
          <rPr>
            <sz val="8"/>
            <color indexed="16"/>
            <rFont val="Tahoma"/>
            <family val="2"/>
          </rPr>
          <t xml:space="preserve"> answer any questions about this </t>
        </r>
        <r>
          <rPr>
            <u/>
            <sz val="8"/>
            <color indexed="16"/>
            <rFont val="Tahoma"/>
            <family val="2"/>
          </rPr>
          <t>any</t>
        </r>
        <r>
          <rPr>
            <sz val="8"/>
            <color indexed="16"/>
            <rFont val="Tahoma"/>
            <family val="2"/>
          </rPr>
          <t xml:space="preserve"> questions that relate to </t>
        </r>
        <r>
          <rPr>
            <u/>
            <sz val="8"/>
            <color indexed="16"/>
            <rFont val="Tahoma"/>
            <family val="2"/>
          </rPr>
          <t>any</t>
        </r>
        <r>
          <rPr>
            <sz val="8"/>
            <color indexed="16"/>
            <rFont val="Tahoma"/>
            <family val="2"/>
          </rPr>
          <t xml:space="preserve"> aspect of this exam, including electronic questions sent through email, texting, posting on blogs or discussion forums, etc.
5) Look at any aspect or portion of this exam from any other current or past student.
</t>
        </r>
        <r>
          <rPr>
            <b/>
            <i/>
            <sz val="8"/>
            <color indexed="16"/>
            <rFont val="Tahoma"/>
            <family val="2"/>
          </rPr>
          <t>REPORTING VIOLATIONS:</t>
        </r>
        <r>
          <rPr>
            <sz val="8"/>
            <color indexed="16"/>
            <rFont val="Tahoma"/>
            <family val="2"/>
          </rPr>
          <t xml:space="preserve"> If you have received this file from anyone other than your instructor (or if you have witnessed any violations described above), you are obligated to report it immediately to the BYU-Idaho Student Honor Office.
Phone:  208-496-9300  (tell them the file is from the Business Management Dept.)
Email:  sho@byui.edu</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414CE52-A5EA-4578-9F99-F396FFAF76B4}" keepAlive="1" name="Query - Table 0" description="Connection to the 'Table 0' query in the workbook." type="5" refreshedVersion="7" background="1" saveData="1">
    <dbPr connection="Provider=Microsoft.Mashup.OleDb.1;Data Source=$Workbook$;Location=&quot;Table 0&quot;;Extended Properties=&quot;&quot;" command="SELECT * FROM [Table 0]"/>
  </connection>
  <connection id="2" xr16:uid="{DBDA3CCB-5133-405A-AC24-9DF2CE8728DB}" keepAlive="1" name="Query - Table 0 (2)" description="Connection to the 'Table 0 (2)' query in the workbook." type="5" refreshedVersion="7" background="1" saveData="1">
    <dbPr connection="Provider=Microsoft.Mashup.OleDb.1;Data Source=$Workbook$;Location=&quot;Table 0 (2)&quot;;Extended Properties=&quot;&quot;" command="SELECT * FROM [Table 0 (2)]"/>
  </connection>
  <connection id="3" xr16:uid="{9E2512A9-F7B2-4531-8591-D6297CE15F5D}" keepAlive="1" name="Query - Table 0 (3)" description="Connection to the 'Table 0 (3)' query in the workbook." type="5" refreshedVersion="7" background="1" saveData="1">
    <dbPr connection="Provider=Microsoft.Mashup.OleDb.1;Data Source=$Workbook$;Location=&quot;Table 0 (3)&quot;;Extended Properties=&quot;&quot;" command="SELECT * FROM [Table 0 (3)]"/>
  </connection>
  <connection id="4" xr16:uid="{D049C991-BD27-4742-8E91-D2BD16C0B18D}" keepAlive="1" name="Query - Table 0 (4)" description="Connection to the 'Table 0 (4)' query in the workbook." type="5" refreshedVersion="7" background="1" saveData="1">
    <dbPr connection="Provider=Microsoft.Mashup.OleDb.1;Data Source=$Workbook$;Location=&quot;Table 0 (4)&quot;;Extended Properties=&quot;&quot;" command="SELECT * FROM [Table 0 (4)]"/>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<sst xmlns="http://schemas.openxmlformats.org/spreadsheetml/2006/main" count="1099" uniqueCount="269">
  <si>
    <t>BEFORE you do anything with this file, CLICK HERE and carefully read</t>
  </si>
  <si>
    <t>HONESTY WARNING (do not edit, hide, or move this)</t>
  </si>
  <si>
    <t>Spring 2021</t>
  </si>
  <si>
    <t>Harrell-02</t>
  </si>
  <si>
    <t>Date</t>
  </si>
  <si>
    <t>Book</t>
  </si>
  <si>
    <t>Author</t>
  </si>
  <si>
    <t>Origin</t>
  </si>
  <si>
    <t>Dan Brown</t>
  </si>
  <si>
    <t>The People vs. Alex Cross</t>
  </si>
  <si>
    <t>James Patterson</t>
  </si>
  <si>
    <t>The Woman in the Window</t>
  </si>
  <si>
    <t>A.J. Finn</t>
  </si>
  <si>
    <t>City of Endless Night</t>
  </si>
  <si>
    <r>
      <t>Douglas Preston</t>
    </r>
    <r>
      <rPr>
        <sz val="7"/>
        <color rgb="FF202122"/>
        <rFont val="Arial"/>
        <family val="2"/>
      </rPr>
      <t> and </t>
    </r>
    <r>
      <rPr>
        <sz val="7"/>
        <color rgb="FF0645AD"/>
        <rFont val="Arial"/>
        <family val="2"/>
      </rPr>
      <t>Lincoln Child</t>
    </r>
  </si>
  <si>
    <t>Judgment Road</t>
  </si>
  <si>
    <t>Christine Feehan</t>
  </si>
  <si>
    <t>Dark in Death</t>
  </si>
  <si>
    <t>J.D. Robb</t>
  </si>
  <si>
    <t>The Great Alone</t>
  </si>
  <si>
    <t>Kristin Hannah</t>
  </si>
  <si>
    <t>Burn Bright</t>
  </si>
  <si>
    <t>Patricia Briggs</t>
  </si>
  <si>
    <t>The Rising Sea</t>
  </si>
  <si>
    <t>Clive Cussler and Graham Brown</t>
  </si>
  <si>
    <t>Accidental Heroes</t>
  </si>
  <si>
    <t>Danielle Steel</t>
  </si>
  <si>
    <t>The Disappeared</t>
  </si>
  <si>
    <t>C. J. Box</t>
  </si>
  <si>
    <t>Ready Player One</t>
  </si>
  <si>
    <t>Ernest Cline</t>
  </si>
  <si>
    <t>The Thief</t>
  </si>
  <si>
    <t>J.R. Ward</t>
  </si>
  <si>
    <t>The Fallen</t>
  </si>
  <si>
    <t>David Baldacci</t>
  </si>
  <si>
    <t>Twisted Prey</t>
  </si>
  <si>
    <t>John Sandford</t>
  </si>
  <si>
    <t>The 17th Suspect</t>
  </si>
  <si>
    <t>James Patterson and Maxine Paetro</t>
  </si>
  <si>
    <t>The Cast</t>
  </si>
  <si>
    <t>The Outsider</t>
  </si>
  <si>
    <t>Stephen King</t>
  </si>
  <si>
    <t>Shelter in Place</t>
  </si>
  <si>
    <t>Nora Roberts</t>
  </si>
  <si>
    <t>The President Is Missing</t>
  </si>
  <si>
    <t>James Patterson and Bill Clinton</t>
  </si>
  <si>
    <t>The Other Woman</t>
  </si>
  <si>
    <t>Daniel Silva</t>
  </si>
  <si>
    <t>Tailspin</t>
  </si>
  <si>
    <t>Sandra Brown</t>
  </si>
  <si>
    <t>Crazy Rich Asians</t>
  </si>
  <si>
    <t>Kevin Kwan</t>
  </si>
  <si>
    <t>Leverage In Death</t>
  </si>
  <si>
    <t>Juror #3</t>
  </si>
  <si>
    <t>James Patterson and Nancy Allen</t>
  </si>
  <si>
    <t>Lethal White</t>
  </si>
  <si>
    <t>Robert Galbraith</t>
  </si>
  <si>
    <t>Vince Flynn: Red War</t>
  </si>
  <si>
    <t>Kyle Mills</t>
  </si>
  <si>
    <t>A Spark Of Light</t>
  </si>
  <si>
    <t>Jodi Picoult</t>
  </si>
  <si>
    <t>Holy Ghost</t>
  </si>
  <si>
    <t>John Sanford</t>
  </si>
  <si>
    <t>Every Breath</t>
  </si>
  <si>
    <t>Nicholas Sparks</t>
  </si>
  <si>
    <t>The Reckoning</t>
  </si>
  <si>
    <t>John Grisham</t>
  </si>
  <si>
    <t>Dark Sacred Night</t>
  </si>
  <si>
    <t>Michael Connelly</t>
  </si>
  <si>
    <t>Past Tense</t>
  </si>
  <si>
    <t>Lee Child</t>
  </si>
  <si>
    <t>Look Alive Twenty-Five</t>
  </si>
  <si>
    <t>Janet Evanovich</t>
  </si>
  <si>
    <t>Fire and Blood</t>
  </si>
  <si>
    <t>George R. R. Martin</t>
  </si>
  <si>
    <t>Kingdom of the Blind</t>
  </si>
  <si>
    <t>Louise Penny</t>
  </si>
  <si>
    <t>Of Blood and Bone</t>
  </si>
  <si>
    <t>Long Road to Mercy</t>
  </si>
  <si>
    <t>Verses for the Dead</t>
  </si>
  <si>
    <t>Turning Point</t>
  </si>
  <si>
    <t>Where the Crawdads Sing</t>
  </si>
  <si>
    <t>Delia Owens</t>
  </si>
  <si>
    <t>Connections in Death</t>
  </si>
  <si>
    <t>J. D. Robb</t>
  </si>
  <si>
    <t>Redemption</t>
  </si>
  <si>
    <t>Neon Prey</t>
  </si>
  <si>
    <t>18th Abduction</t>
  </si>
  <si>
    <r>
      <t>James Patterson</t>
    </r>
    <r>
      <rPr>
        <sz val="7"/>
        <color rgb="FF202122"/>
        <rFont val="Arial"/>
        <family val="2"/>
      </rPr>
      <t> and </t>
    </r>
    <r>
      <rPr>
        <sz val="7"/>
        <color rgb="FF0645AD"/>
        <rFont val="Arial"/>
        <family val="2"/>
      </rPr>
      <t>Maxine Paetro</t>
    </r>
  </si>
  <si>
    <t>Summer of '69</t>
  </si>
  <si>
    <t>Elin Hilderbrand</t>
  </si>
  <si>
    <t>Under Currents</t>
  </si>
  <si>
    <t>The New Girl</t>
  </si>
  <si>
    <t>One Good Deed</t>
  </si>
  <si>
    <t>A Better Man</t>
  </si>
  <si>
    <t>Vendetta in Death</t>
  </si>
  <si>
    <t>The Institute</t>
  </si>
  <si>
    <t>The Water Dancer</t>
  </si>
  <si>
    <t>Ta-Nehisi Coates</t>
  </si>
  <si>
    <t>Bloody Genius</t>
  </si>
  <si>
    <t>The 19th Christmas</t>
  </si>
  <si>
    <t>James Patterson and Maxine Paetro</t>
  </si>
  <si>
    <t>The Guardians</t>
  </si>
  <si>
    <t>The Night Fire</t>
  </si>
  <si>
    <t>Blue Moon</t>
  </si>
  <si>
    <t>Twisted Twenty-Six</t>
  </si>
  <si>
    <t>A Minute to Midnight</t>
  </si>
  <si>
    <t>The Rise of Magicks</t>
  </si>
  <si>
    <t>Where The Crawdads Sing</t>
  </si>
  <si>
    <t>American Dirt</t>
  </si>
  <si>
    <t>Jeanine Cummins</t>
  </si>
  <si>
    <t>Golden in Death</t>
  </si>
  <si>
    <t>One Minute Out</t>
  </si>
  <si>
    <t>Mark Greaney</t>
  </si>
  <si>
    <t>Blindside</t>
  </si>
  <si>
    <r>
      <t>James Patterson</t>
    </r>
    <r>
      <rPr>
        <sz val="7"/>
        <color rgb="FF202122"/>
        <rFont val="Arial"/>
        <family val="2"/>
      </rPr>
      <t> and </t>
    </r>
    <r>
      <rPr>
        <sz val="7"/>
        <color rgb="FF0645AD"/>
        <rFont val="Arial"/>
        <family val="2"/>
      </rPr>
      <t>James O. Born</t>
    </r>
  </si>
  <si>
    <t>House of Earth and Blood</t>
  </si>
  <si>
    <t>Sarah J. Maas</t>
  </si>
  <si>
    <t>The Mirror and the Light</t>
  </si>
  <si>
    <t>Hilary Mantel</t>
  </si>
  <si>
    <t>The Boy from the Woods</t>
  </si>
  <si>
    <t>Harlan Coben</t>
  </si>
  <si>
    <t>Little Fires Everywhere</t>
  </si>
  <si>
    <t>Celeste Ng</t>
  </si>
  <si>
    <t>Masked Prey</t>
  </si>
  <si>
    <t>Walk The Wire</t>
  </si>
  <si>
    <t>Camino Winds</t>
  </si>
  <si>
    <t>The 20th Victim</t>
  </si>
  <si>
    <t>Hideaway</t>
  </si>
  <si>
    <t>The Vanishing Half</t>
  </si>
  <si>
    <t>Brit Bennett</t>
  </si>
  <si>
    <t>The Summer House</t>
  </si>
  <si>
    <t>James Patterson and Brendan DuBois</t>
  </si>
  <si>
    <t>28 Summers</t>
  </si>
  <si>
    <t>The Order</t>
  </si>
  <si>
    <t>Near Dark</t>
  </si>
  <si>
    <t>Brad Thor</t>
  </si>
  <si>
    <t>Deadlock</t>
  </si>
  <si>
    <t>Catherine Coulter</t>
  </si>
  <si>
    <t>Royal</t>
  </si>
  <si>
    <t>Thick as Thieves</t>
  </si>
  <si>
    <t>All the Devils Are Here</t>
  </si>
  <si>
    <t>Shadows in Death</t>
  </si>
  <si>
    <t>The Evening and the Morning</t>
  </si>
  <si>
    <t>Ken Follett</t>
  </si>
  <si>
    <t>The Book of Two Ways</t>
  </si>
  <si>
    <t>The Return</t>
  </si>
  <si>
    <t>Troubles in Paradise</t>
  </si>
  <si>
    <t>A Time for Mercy</t>
  </si>
  <si>
    <t>The Sentinel</t>
  </si>
  <si>
    <r>
      <t>Lee Child</t>
    </r>
    <r>
      <rPr>
        <sz val="7"/>
        <color rgb="FF202122"/>
        <rFont val="Arial"/>
        <family val="2"/>
      </rPr>
      <t> and </t>
    </r>
    <r>
      <rPr>
        <sz val="7"/>
        <color rgb="FF0645AD"/>
        <rFont val="Arial"/>
        <family val="2"/>
      </rPr>
      <t>Andrew Child</t>
    </r>
  </si>
  <si>
    <t>Fortune and Glory</t>
  </si>
  <si>
    <t>The Law of Innocence</t>
  </si>
  <si>
    <t>Rhythm of War</t>
  </si>
  <si>
    <t>Brandon Sanderson</t>
  </si>
  <si>
    <t>Ready Player Two</t>
  </si>
  <si>
    <t>Publisher</t>
  </si>
  <si>
    <t>Doubleday</t>
  </si>
  <si>
    <t>The Duke and I</t>
  </si>
  <si>
    <t>Julia Quinn</t>
  </si>
  <si>
    <t>Avon</t>
  </si>
  <si>
    <t>The Russian</t>
  </si>
  <si>
    <t>Little, Brown and Company</t>
  </si>
  <si>
    <t>The Four Winds</t>
  </si>
  <si>
    <t>St. Martin's Press</t>
  </si>
  <si>
    <t>A Court of Silver Flames</t>
  </si>
  <si>
    <t>Bloomsbury Publishing</t>
  </si>
  <si>
    <t>Life After Death</t>
  </si>
  <si>
    <t>Sister Souljah</t>
  </si>
  <si>
    <t>Emily Bestler Books</t>
  </si>
  <si>
    <t>Win</t>
  </si>
  <si>
    <t>Harlen Coben</t>
  </si>
  <si>
    <t>Grand Central Publishing</t>
  </si>
  <si>
    <t>The Hill We Climb</t>
  </si>
  <si>
    <t>Amanda Gorman</t>
  </si>
  <si>
    <t>Viking Books</t>
  </si>
  <si>
    <t>Ocean Prey</t>
  </si>
  <si>
    <t>G. P. Putnam's Sons</t>
  </si>
  <si>
    <t>A Gambling Man</t>
  </si>
  <si>
    <t>Sooley</t>
  </si>
  <si>
    <t>21st Birthday</t>
  </si>
  <si>
    <t>While Justice Sleeps</t>
  </si>
  <si>
    <t>Stacey Abrams</t>
  </si>
  <si>
    <t>The Last Thing He Told Me</t>
  </si>
  <si>
    <t>Laura Dave</t>
  </si>
  <si>
    <t>Simon &amp; Schuster</t>
  </si>
  <si>
    <t>Legacy</t>
  </si>
  <si>
    <t>Freed</t>
  </si>
  <si>
    <t>E. L. James</t>
  </si>
  <si>
    <t>Bloom Books</t>
  </si>
  <si>
    <t>The President's Daughter</t>
  </si>
  <si>
    <r>
      <t>Bill Clinton</t>
    </r>
    <r>
      <rPr>
        <sz val="7"/>
        <color rgb="FF202122"/>
        <rFont val="Arial"/>
        <family val="2"/>
      </rPr>
      <t> and </t>
    </r>
    <r>
      <rPr>
        <sz val="7"/>
        <color rgb="FF0645AD"/>
        <rFont val="Arial"/>
        <family val="2"/>
      </rPr>
      <t>James Patterson</t>
    </r>
  </si>
  <si>
    <t>Once Upon a Time in Hollywood</t>
  </si>
  <si>
    <t>Quentin Tarantino</t>
  </si>
  <si>
    <t>Harper Perennial</t>
  </si>
  <si>
    <t>James Patterson and James O. Born</t>
  </si>
  <si>
    <t>Bill Clinton and James Patterson</t>
  </si>
  <si>
    <t>James Patterson and Brendan DuBois</t>
  </si>
  <si>
    <t>Lee Child and Andrew Child</t>
  </si>
  <si>
    <t>Douglas Preston and Lincoln Child</t>
  </si>
  <si>
    <t>Clive Cussler and Graham Brown</t>
  </si>
  <si>
    <t>James Patterson and Bill Clinton</t>
  </si>
  <si>
    <t>James Patterson and Nancy Allen</t>
  </si>
  <si>
    <t>Year</t>
  </si>
  <si>
    <t>Authors</t>
  </si>
  <si>
    <t>Books</t>
  </si>
  <si>
    <t>1 hr</t>
  </si>
  <si>
    <t>25 min</t>
  </si>
  <si>
    <t>Column1</t>
  </si>
  <si>
    <t>Column2</t>
  </si>
  <si>
    <t>45 min</t>
  </si>
  <si>
    <t>Weeks it was up</t>
  </si>
  <si>
    <t>Genre</t>
  </si>
  <si>
    <t>Price</t>
  </si>
  <si>
    <t>Thriller Fiction</t>
  </si>
  <si>
    <t>Thriller Fiction Novel</t>
  </si>
  <si>
    <t>Mystery Thriller Fiction</t>
  </si>
  <si>
    <t>Romance Novel</t>
  </si>
  <si>
    <t>Mystery Suspense Novel</t>
  </si>
  <si>
    <t>Domestic Fiction Novel</t>
  </si>
  <si>
    <t>Supernatural Fiction</t>
  </si>
  <si>
    <t>Thriller</t>
  </si>
  <si>
    <t>Science Fiction</t>
  </si>
  <si>
    <t>Thriller Crime Fiction</t>
  </si>
  <si>
    <t>Thriller Mystery Fiction</t>
  </si>
  <si>
    <t>Thriller Novel Fiction</t>
  </si>
  <si>
    <t>Spy Thriller Fiction</t>
  </si>
  <si>
    <t>Crime Mystery Novel</t>
  </si>
  <si>
    <t>Thriller Romance Novel</t>
  </si>
  <si>
    <t>Romance Comedy Novel</t>
  </si>
  <si>
    <t>Mystery Crime Novel</t>
  </si>
  <si>
    <t xml:space="preserve">Thriller Novel </t>
  </si>
  <si>
    <t>Thriller Novel</t>
  </si>
  <si>
    <t>Fantasy Fiction</t>
  </si>
  <si>
    <t>Mystery Thriller</t>
  </si>
  <si>
    <t>Young Adult Fiction</t>
  </si>
  <si>
    <t>Thriller Mystery Novel</t>
  </si>
  <si>
    <t>Thriller Mystery</t>
  </si>
  <si>
    <t>Historical Fiction</t>
  </si>
  <si>
    <t>Thriller Spy Fiction</t>
  </si>
  <si>
    <t>Thriller Suspense Fiction</t>
  </si>
  <si>
    <t>Mystery Fiction</t>
  </si>
  <si>
    <t>Horror Fiction</t>
  </si>
  <si>
    <t>Thriller Science Fiction</t>
  </si>
  <si>
    <t>Thriller Adventure Fiction</t>
  </si>
  <si>
    <t>Novel</t>
  </si>
  <si>
    <t>Mystery Historical Fiction</t>
  </si>
  <si>
    <t>Thriller Romantic</t>
  </si>
  <si>
    <t>Romantic Suspense Novel</t>
  </si>
  <si>
    <t>Psychological Fiction</t>
  </si>
  <si>
    <t>Domestic Fiction</t>
  </si>
  <si>
    <t>Historical Fiction Novel</t>
  </si>
  <si>
    <t>Fiction</t>
  </si>
  <si>
    <t>Poetry</t>
  </si>
  <si>
    <t>Adventure Fiction</t>
  </si>
  <si>
    <t>Thriller Suspense</t>
  </si>
  <si>
    <t>Suspense Thriller</t>
  </si>
  <si>
    <t>Novelization</t>
  </si>
  <si>
    <t>Listed Paperback Price</t>
  </si>
  <si>
    <t>4 hr</t>
  </si>
  <si>
    <t>Dates Book 2 was on Top</t>
  </si>
  <si>
    <t>Dates Book 3 was on Top</t>
  </si>
  <si>
    <t>Dates Book 4 was on Top</t>
  </si>
  <si>
    <t>Dates Book 1 was on Top</t>
  </si>
  <si>
    <t>Find the Year and Author you want to Know about</t>
  </si>
  <si>
    <t>2 hr</t>
  </si>
  <si>
    <t>Genres</t>
  </si>
  <si>
    <t>Input</t>
  </si>
  <si>
    <t>Output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</si>
</sst>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8" x14ac:knownFonts="1">
    <font>
      <sz val="11"/>
      <color theme="1"/>
      <name val="Calibri"/>
      <family val="2"/>
      <scheme val="minor"/>
    </font>
    <font>
      <sz val="11"/>
      <color theme="0"/>
      <name val="Calibri"/>
      <family val="2"/>
      <scheme val="minor"/>
    </font>
    <font>
      <sz val="12"/>
      <color indexed="16"/>
      <name val="Tahoma"/>
      <family val="2"/>
    </font>
    <font>
      <sz val="8"/>
      <color indexed="16"/>
      <name val="Tahoma"/>
      <family val="2"/>
    </font>
    <font>
      <i/>
      <sz val="16"/>
      <color indexed="16"/>
      <name val="Monotype Corsiva"/>
      <family val="4"/>
    </font>
    <font>
      <u/>
      <sz val="8"/>
      <color indexed="16"/>
      <name val="Tahoma"/>
      <family val="2"/>
    </font>
    <font>
      <b/>
      <sz val="11"/>
      <color indexed="16"/>
      <name val="Tahoma"/>
      <family val="2"/>
    </font>
    <font>
      <i/>
      <u/>
      <sz val="8"/>
      <color indexed="16"/>
      <name val="Tahoma"/>
      <family val="2"/>
    </font>
    <font>
      <b/>
      <i/>
      <sz val="11"/>
      <color indexed="16"/>
      <name val="Tahoma"/>
      <family val="2"/>
    </font>
    <font>
      <b/>
      <i/>
      <sz val="8"/>
      <color indexed="16"/>
      <name val="Tahoma"/>
      <family val="2"/>
    </font>
    <font>
      <sz val="10"/>
      <color theme="0"/>
      <name val="Calibri"/>
      <family val="2"/>
      <scheme val="minor"/>
    </font>
    <font>
      <b/>
      <i/>
      <sz val="16.5"/>
      <color indexed="16"/>
      <name val="Monotype Corsiva"/>
      <family val="4"/>
    </font>
    <font>
      <b/>
      <sz val="7"/>
      <color rgb="FF202122"/>
      <name val="Arial"/>
      <family val="2"/>
    </font>
    <font>
      <sz val="7"/>
      <color rgb="FF202122"/>
      <name val="Arial"/>
      <family val="2"/>
    </font>
    <font>
      <sz val="7"/>
      <color rgb="FF0645AD"/>
      <name val="Arial"/>
      <family val="2"/>
    </font>
    <font>
      <i/>
      <sz val="7"/>
      <color rgb="FF202122"/>
      <name val="Arial"/>
      <family val="2"/>
    </font>
    <font>
      <u/>
      <sz val="11"/>
      <color theme="10"/>
      <name val="Calibri"/>
      <family val="2"/>
      <scheme val="minor"/>
    </font>
    <font>
      <sz val="8"/>
      <name val="Calibri"/>
      <family val="2"/>
      <scheme val="minor"/>
    </font>
  </fonts>
  <fills count="16">
    <fill>
      <patternFill patternType="none"/>
    </fill>
    <fill>
      <patternFill patternType="gray125"/>
    </fill>
    <fill>
      <patternFill patternType="solid">
        <fgColor rgb="FFFF0000"/>
        <bgColor indexed="64"/>
      </patternFill>
    </fill>
    <fill>
      <patternFill patternType="solid">
        <fgColor rgb="FFF8F9FA"/>
        <bgColor indexed="64"/>
      </patternFill>
    </fill>
    <fill>
      <patternFill patternType="solid">
        <fgColor rgb="FFEAECF0"/>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9" tint="0.79998168889431442"/>
        <bgColor theme="9" tint="0.79998168889431442"/>
      </patternFill>
    </fill>
    <fill>
      <patternFill patternType="solid">
        <fgColor rgb="FFFFFFCC"/>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39997558519241921"/>
        <bgColor indexed="64"/>
      </patternFill>
    </fill>
    <fill>
      <patternFill patternType="solid">
        <fgColor theme="4" tint="-0.249977111117893"/>
        <bgColor indexed="64"/>
      </patternFill>
    </fill>
    <fill>
      <patternFill patternType="solid">
        <fgColor theme="1"/>
        <bgColor indexed="64"/>
      </patternFill>
    </fill>
  </fills>
  <borders count="26">
    <border>
      <left/>
      <right/>
      <top/>
      <bottom/>
      <diagonal/>
    </border>
    <border>
      <left style="medium">
        <color rgb="FFA2A9B1"/>
      </left>
      <right style="medium">
        <color rgb="FFA2A9B1"/>
      </right>
      <top style="medium">
        <color rgb="FFA2A9B1"/>
      </top>
      <bottom style="medium">
        <color rgb="FFA2A9B1"/>
      </bottom>
      <diagonal/>
    </border>
    <border>
      <left style="medium">
        <color rgb="FFA2A9B1"/>
      </left>
      <right style="medium">
        <color rgb="FFA2A9B1"/>
      </right>
      <top style="medium">
        <color rgb="FFA2A9B1"/>
      </top>
      <bottom/>
      <diagonal/>
    </border>
    <border>
      <left style="medium">
        <color rgb="FFA2A9B1"/>
      </left>
      <right style="medium">
        <color rgb="FFA2A9B1"/>
      </right>
      <top/>
      <bottom style="medium">
        <color rgb="FFA2A9B1"/>
      </bottom>
      <diagonal/>
    </border>
    <border>
      <left style="medium">
        <color rgb="FFA2A9B1"/>
      </left>
      <right style="medium">
        <color rgb="FFA2A9B1"/>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6" fillId="0" borderId="0" applyNumberFormat="0" applyFill="0" applyBorder="0" applyAlignment="0" applyProtection="0"/>
  </cellStyleXfs>
  <cellXfs count="91">
    <xf numFmtId="0" fontId="0" fillId="0" borderId="0" xfId="0"/>
    <xf numFmtId="0" fontId="0" fillId="0" borderId="0" xfId="0" applyProtection="1"/>
    <xf numFmtId="16" fontId="13" fillId="3" borderId="1" xfId="0" applyNumberFormat="1" applyFont="1" applyFill="1" applyBorder="1" applyAlignment="1">
      <alignment vertical="center" wrapText="1"/>
    </xf>
    <xf numFmtId="0" fontId="16" fillId="3" borderId="1" xfId="1" applyFill="1" applyBorder="1" applyAlignment="1">
      <alignment vertical="center" wrapText="1"/>
    </xf>
    <xf numFmtId="0" fontId="14" fillId="3" borderId="1" xfId="0" applyFont="1" applyFill="1" applyBorder="1" applyAlignment="1">
      <alignment vertical="center" wrapText="1"/>
    </xf>
    <xf numFmtId="0" fontId="15" fillId="3" borderId="1" xfId="0" applyFont="1" applyFill="1" applyBorder="1" applyAlignment="1">
      <alignment vertical="center" wrapText="1"/>
    </xf>
    <xf numFmtId="0" fontId="13" fillId="3" borderId="1" xfId="0" applyFont="1" applyFill="1" applyBorder="1" applyAlignment="1">
      <alignment vertical="center" wrapText="1"/>
    </xf>
    <xf numFmtId="0" fontId="12" fillId="4" borderId="3" xfId="0" applyFont="1" applyFill="1" applyBorder="1" applyAlignment="1">
      <alignment horizontal="center" vertical="center" wrapText="1"/>
    </xf>
    <xf numFmtId="14" fontId="0" fillId="0" borderId="0" xfId="0" applyNumberFormat="1"/>
    <xf numFmtId="0" fontId="0" fillId="0" borderId="0" xfId="0" applyNumberFormat="1"/>
    <xf numFmtId="0" fontId="0" fillId="9" borderId="10" xfId="0" applyNumberFormat="1" applyFont="1" applyFill="1" applyBorder="1"/>
    <xf numFmtId="0" fontId="0" fillId="0" borderId="10" xfId="0" applyNumberFormat="1" applyFont="1" applyBorder="1"/>
    <xf numFmtId="0" fontId="0" fillId="9" borderId="9" xfId="0" applyNumberFormat="1" applyFont="1" applyFill="1" applyBorder="1"/>
    <xf numFmtId="0" fontId="0" fillId="0" borderId="9" xfId="0" applyNumberFormat="1" applyFont="1" applyBorder="1"/>
    <xf numFmtId="164" fontId="0" fillId="0" borderId="0" xfId="0" applyNumberFormat="1"/>
    <xf numFmtId="0" fontId="0" fillId="11" borderId="0" xfId="0" applyFill="1"/>
    <xf numFmtId="0" fontId="0" fillId="11" borderId="0" xfId="0" applyFill="1" applyAlignment="1">
      <alignment horizontal="center" vertical="center"/>
    </xf>
    <xf numFmtId="0" fontId="0" fillId="11" borderId="0" xfId="0" applyFill="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xf>
    <xf numFmtId="0" fontId="0" fillId="11" borderId="0" xfId="0" applyFill="1" applyAlignment="1">
      <alignment wrapText="1"/>
    </xf>
    <xf numFmtId="0" fontId="0" fillId="11" borderId="12" xfId="0" applyFill="1" applyBorder="1" applyAlignment="1">
      <alignment horizontal="center" vertical="center" wrapText="1"/>
    </xf>
    <xf numFmtId="14" fontId="0" fillId="11" borderId="12" xfId="0" applyNumberFormat="1" applyFill="1" applyBorder="1" applyAlignment="1">
      <alignment horizontal="center" vertical="center" wrapText="1"/>
    </xf>
    <xf numFmtId="14" fontId="0" fillId="11" borderId="6" xfId="0" applyNumberFormat="1" applyFill="1" applyBorder="1" applyAlignment="1">
      <alignment horizontal="center" vertical="center"/>
    </xf>
    <xf numFmtId="14" fontId="0" fillId="11" borderId="0" xfId="0" applyNumberFormat="1" applyFill="1" applyAlignment="1">
      <alignment horizontal="center" vertical="center"/>
    </xf>
    <xf numFmtId="0" fontId="0" fillId="11" borderId="6" xfId="0" applyFill="1" applyBorder="1" applyAlignment="1">
      <alignment horizontal="center" vertical="center" wrapText="1"/>
    </xf>
    <xf numFmtId="0" fontId="0" fillId="11" borderId="13" xfId="0" applyFill="1" applyBorder="1" applyAlignment="1">
      <alignment horizontal="center" vertical="center" wrapText="1"/>
    </xf>
    <xf numFmtId="14" fontId="0" fillId="13" borderId="11" xfId="0" applyNumberFormat="1" applyFill="1" applyBorder="1" applyAlignment="1">
      <alignment horizontal="center" vertical="center" wrapText="1"/>
    </xf>
    <xf numFmtId="0" fontId="0" fillId="13" borderId="5" xfId="0" applyNumberFormat="1" applyFill="1" applyBorder="1" applyAlignment="1">
      <alignment horizontal="center" vertical="center" wrapText="1"/>
    </xf>
    <xf numFmtId="14" fontId="0" fillId="13" borderId="12" xfId="0" applyNumberFormat="1" applyFill="1" applyBorder="1" applyAlignment="1">
      <alignment horizontal="center" vertical="center" wrapText="1"/>
    </xf>
    <xf numFmtId="14" fontId="0" fillId="13" borderId="13" xfId="0" applyNumberFormat="1" applyFill="1" applyBorder="1" applyAlignment="1">
      <alignment horizontal="center" vertical="center" wrapText="1"/>
    </xf>
    <xf numFmtId="0" fontId="0" fillId="13" borderId="11" xfId="0" applyFill="1" applyBorder="1" applyAlignment="1">
      <alignment horizontal="center" vertical="center" wrapText="1"/>
    </xf>
    <xf numFmtId="0" fontId="0" fillId="13" borderId="12" xfId="0" applyFill="1" applyBorder="1" applyAlignment="1">
      <alignment horizontal="center" vertical="center" wrapText="1"/>
    </xf>
    <xf numFmtId="0" fontId="0" fillId="11" borderId="15" xfId="0" applyFill="1" applyBorder="1"/>
    <xf numFmtId="0" fontId="0" fillId="11" borderId="0" xfId="0" applyFill="1" applyBorder="1"/>
    <xf numFmtId="0" fontId="0" fillId="11" borderId="18" xfId="0" applyFill="1" applyBorder="1"/>
    <xf numFmtId="0" fontId="0" fillId="11" borderId="19" xfId="0" applyFill="1" applyBorder="1"/>
    <xf numFmtId="0" fontId="1" fillId="12" borderId="16" xfId="0" applyFont="1" applyFill="1" applyBorder="1" applyAlignment="1">
      <alignment horizontal="center"/>
    </xf>
    <xf numFmtId="0" fontId="1" fillId="12" borderId="15" xfId="0" applyFont="1" applyFill="1" applyBorder="1"/>
    <xf numFmtId="0" fontId="1" fillId="12" borderId="0" xfId="0" applyFont="1" applyFill="1" applyBorder="1" applyAlignment="1">
      <alignment horizontal="center"/>
    </xf>
    <xf numFmtId="0" fontId="1" fillId="12" borderId="0" xfId="0" applyFont="1" applyFill="1" applyBorder="1"/>
    <xf numFmtId="0" fontId="1" fillId="12" borderId="5" xfId="0" applyFont="1" applyFill="1" applyBorder="1" applyAlignment="1">
      <alignment horizontal="center" vertical="center" wrapText="1"/>
    </xf>
    <xf numFmtId="0" fontId="1" fillId="12" borderId="14" xfId="0" applyFont="1" applyFill="1" applyBorder="1" applyAlignment="1">
      <alignment horizontal="center" vertical="center"/>
    </xf>
    <xf numFmtId="0" fontId="0" fillId="13" borderId="20" xfId="0" applyFill="1" applyBorder="1" applyAlignment="1">
      <alignment horizontal="right" vertical="center"/>
    </xf>
    <xf numFmtId="0" fontId="0" fillId="13" borderId="21" xfId="0" applyFill="1" applyBorder="1" applyAlignment="1">
      <alignment horizontal="center" vertical="center" wrapText="1"/>
    </xf>
    <xf numFmtId="0" fontId="0" fillId="11" borderId="22" xfId="0" applyFill="1" applyBorder="1" applyAlignment="1">
      <alignment horizontal="right" vertical="center"/>
    </xf>
    <xf numFmtId="0" fontId="0" fillId="11" borderId="23" xfId="0" applyFill="1" applyBorder="1" applyAlignment="1">
      <alignment horizontal="center" vertical="center" wrapText="1"/>
    </xf>
    <xf numFmtId="0" fontId="0" fillId="13" borderId="22" xfId="0" applyFill="1" applyBorder="1" applyAlignment="1">
      <alignment horizontal="right" vertical="center"/>
    </xf>
    <xf numFmtId="0" fontId="0" fillId="13" borderId="23" xfId="0" applyFill="1" applyBorder="1" applyAlignment="1">
      <alignment horizontal="center" vertical="center" wrapText="1"/>
    </xf>
    <xf numFmtId="0" fontId="0" fillId="11" borderId="24" xfId="0" applyFill="1" applyBorder="1" applyAlignment="1">
      <alignment horizontal="right" vertical="center"/>
    </xf>
    <xf numFmtId="0" fontId="0" fillId="11" borderId="25" xfId="0" applyFill="1" applyBorder="1" applyAlignment="1">
      <alignment horizontal="center" vertical="center" wrapText="1"/>
    </xf>
    <xf numFmtId="0" fontId="1" fillId="11" borderId="0" xfId="0" applyFont="1" applyFill="1" applyAlignment="1">
      <alignment horizontal="center" vertical="center" wrapText="1"/>
    </xf>
    <xf numFmtId="0" fontId="0" fillId="11" borderId="0" xfId="0" applyNumberFormat="1" applyFill="1" applyBorder="1" applyAlignment="1">
      <alignment horizontal="center" vertical="center" wrapText="1"/>
    </xf>
    <xf numFmtId="0" fontId="0" fillId="10" borderId="17" xfId="0" applyFill="1" applyBorder="1" applyAlignment="1">
      <alignment horizontal="center" vertical="center"/>
    </xf>
    <xf numFmtId="0" fontId="0" fillId="13" borderId="18" xfId="0" applyFill="1" applyBorder="1" applyAlignment="1">
      <alignment horizontal="center" vertical="center"/>
    </xf>
    <xf numFmtId="0" fontId="0" fillId="10" borderId="16" xfId="0" applyFill="1" applyBorder="1" applyAlignment="1">
      <alignment horizontal="center" vertical="center" wrapText="1"/>
    </xf>
    <xf numFmtId="0" fontId="1" fillId="12" borderId="14" xfId="0" applyFont="1" applyFill="1" applyBorder="1" applyAlignment="1">
      <alignment horizontal="center" vertical="center" wrapText="1"/>
    </xf>
    <xf numFmtId="164" fontId="0" fillId="13" borderId="11" xfId="0" applyNumberFormat="1" applyFill="1" applyBorder="1" applyAlignment="1">
      <alignment horizontal="center" vertical="center"/>
    </xf>
    <xf numFmtId="164" fontId="0" fillId="11" borderId="12" xfId="0" applyNumberFormat="1" applyFill="1" applyBorder="1" applyAlignment="1">
      <alignment horizontal="center" vertical="center"/>
    </xf>
    <xf numFmtId="164" fontId="0" fillId="13" borderId="12" xfId="0" applyNumberFormat="1" applyFill="1" applyBorder="1" applyAlignment="1">
      <alignment horizontal="center" vertical="center"/>
    </xf>
    <xf numFmtId="164" fontId="0" fillId="11" borderId="13" xfId="0" applyNumberFormat="1" applyFill="1" applyBorder="1" applyAlignment="1">
      <alignment horizontal="center" vertical="center"/>
    </xf>
    <xf numFmtId="0" fontId="0" fillId="5" borderId="0" xfId="0" applyFill="1"/>
    <xf numFmtId="0" fontId="0" fillId="15" borderId="0" xfId="0" applyFill="1"/>
    <xf numFmtId="0" fontId="0" fillId="14" borderId="6" xfId="0" applyFont="1" applyFill="1" applyBorder="1" applyAlignment="1">
      <alignment horizontal="center" vertical="center"/>
    </xf>
    <xf numFmtId="0" fontId="0" fillId="14" borderId="7" xfId="0" applyFont="1" applyFill="1" applyBorder="1" applyAlignment="1">
      <alignment horizontal="center" vertical="center"/>
    </xf>
    <xf numFmtId="0" fontId="0" fillId="14" borderId="8" xfId="0" applyFont="1" applyFill="1" applyBorder="1" applyAlignment="1">
      <alignment horizontal="center" vertical="center"/>
    </xf>
    <xf numFmtId="0" fontId="16" fillId="3" borderId="2" xfId="1" applyFill="1" applyBorder="1" applyAlignment="1">
      <alignment vertical="center" wrapText="1"/>
    </xf>
    <xf numFmtId="0" fontId="16" fillId="3" borderId="3" xfId="1" applyFill="1" applyBorder="1" applyAlignment="1">
      <alignment vertical="center" wrapText="1"/>
    </xf>
    <xf numFmtId="0" fontId="15" fillId="3" borderId="2" xfId="0" applyFont="1" applyFill="1" applyBorder="1" applyAlignment="1">
      <alignment vertical="center" wrapText="1"/>
    </xf>
    <xf numFmtId="0" fontId="15" fillId="3" borderId="3" xfId="0" applyFont="1" applyFill="1" applyBorder="1" applyAlignment="1">
      <alignment vertical="center" wrapText="1"/>
    </xf>
    <xf numFmtId="0" fontId="13" fillId="3" borderId="2" xfId="0" applyFont="1" applyFill="1" applyBorder="1" applyAlignment="1">
      <alignment vertical="center" wrapText="1"/>
    </xf>
    <xf numFmtId="0" fontId="13" fillId="3" borderId="3" xfId="0" applyFont="1" applyFill="1" applyBorder="1" applyAlignment="1">
      <alignment vertical="center" wrapText="1"/>
    </xf>
    <xf numFmtId="0" fontId="0" fillId="8" borderId="6" xfId="0" applyFill="1" applyBorder="1" applyAlignment="1">
      <alignment horizontal="center"/>
    </xf>
    <xf numFmtId="0" fontId="0" fillId="8" borderId="7" xfId="0" applyFill="1" applyBorder="1" applyAlignment="1">
      <alignment horizontal="center"/>
    </xf>
    <xf numFmtId="0" fontId="0" fillId="8" borderId="8" xfId="0" applyFill="1" applyBorder="1" applyAlignment="1">
      <alignment horizontal="center"/>
    </xf>
    <xf numFmtId="0" fontId="16" fillId="3" borderId="4" xfId="1" applyFill="1" applyBorder="1" applyAlignment="1">
      <alignment vertical="center" wrapText="1"/>
    </xf>
    <xf numFmtId="0" fontId="14" fillId="3" borderId="2" xfId="0" applyFont="1" applyFill="1" applyBorder="1" applyAlignment="1">
      <alignment vertical="center" wrapText="1"/>
    </xf>
    <xf numFmtId="0" fontId="14" fillId="3" borderId="3" xfId="0" applyFont="1" applyFill="1" applyBorder="1" applyAlignment="1">
      <alignment vertical="center" wrapText="1"/>
    </xf>
    <xf numFmtId="0" fontId="0" fillId="7" borderId="6" xfId="0" applyFill="1" applyBorder="1" applyAlignment="1">
      <alignment horizontal="center"/>
    </xf>
    <xf numFmtId="0" fontId="0" fillId="7" borderId="7" xfId="0" applyFill="1" applyBorder="1" applyAlignment="1">
      <alignment horizontal="center"/>
    </xf>
    <xf numFmtId="0" fontId="0" fillId="7" borderId="8" xfId="0" applyFill="1" applyBorder="1" applyAlignment="1">
      <alignment horizontal="center"/>
    </xf>
    <xf numFmtId="0" fontId="0" fillId="6" borderId="6" xfId="0" applyFill="1" applyBorder="1" applyAlignment="1">
      <alignment horizontal="center"/>
    </xf>
    <xf numFmtId="0" fontId="0" fillId="6" borderId="7" xfId="0" applyFill="1" applyBorder="1" applyAlignment="1">
      <alignment horizontal="center"/>
    </xf>
    <xf numFmtId="0" fontId="0" fillId="6" borderId="8" xfId="0" applyFill="1" applyBorder="1" applyAlignment="1">
      <alignment horizontal="center"/>
    </xf>
    <xf numFmtId="0" fontId="15" fillId="3" borderId="4" xfId="0" applyFont="1" applyFill="1" applyBorder="1" applyAlignment="1">
      <alignment vertical="center" wrapText="1"/>
    </xf>
    <xf numFmtId="0" fontId="13" fillId="3" borderId="4" xfId="0" applyFont="1" applyFill="1" applyBorder="1" applyAlignment="1">
      <alignment vertical="center" wrapText="1"/>
    </xf>
    <xf numFmtId="0" fontId="0" fillId="5" borderId="6" xfId="0" applyFill="1" applyBorder="1" applyAlignment="1">
      <alignment horizontal="center"/>
    </xf>
    <xf numFmtId="0" fontId="0" fillId="5" borderId="7" xfId="0" applyFill="1" applyBorder="1" applyAlignment="1">
      <alignment horizontal="center"/>
    </xf>
    <xf numFmtId="0" fontId="0" fillId="5" borderId="8" xfId="0" applyFill="1" applyBorder="1" applyAlignment="1">
      <alignment horizontal="center"/>
    </xf>
    <xf numFmtId="0" fontId="1" fillId="2" borderId="0" xfId="0" applyFont="1" applyFill="1" applyAlignment="1" applyProtection="1">
      <alignment horizontal="center"/>
    </xf>
    <xf numFmtId="0" fontId="10" fillId="2" borderId="0" xfId="0" applyFont="1" applyFill="1" applyAlignment="1" applyProtection="1">
      <alignment horizontal="center"/>
    </xf>
  </cellXfs>
  <cellStyles count="2">
    <cellStyle name="Hyperlink" xfId="1" builtinId="8"/>
    <cellStyle name="Normal" xfId="0" builtinId="0"/>
  </cellStyles>
  <dxfs count="29">
    <dxf>
      <numFmt numFmtId="0" formatCode="General"/>
    </dxf>
    <dxf>
      <numFmt numFmtId="164" formatCode="&quot;$&quot;#,##0.00"/>
    </dxf>
    <dxf>
      <numFmt numFmtId="19" formatCode="m/d/yyyy"/>
    </dxf>
    <dxf>
      <numFmt numFmtId="19" formatCode="m/d/yyyy"/>
    </dxf>
    <dxf>
      <numFmt numFmtId="0" formatCode="General"/>
    </dxf>
    <dxf>
      <numFmt numFmtId="0" formatCode="General"/>
    </dxf>
    <dxf>
      <numFmt numFmtId="0" formatCode="General"/>
    </dxf>
    <dxf>
      <numFmt numFmtId="19" formatCode="m/d/yyyy"/>
    </dxf>
    <dxf>
      <numFmt numFmtId="164" formatCode="&quot;$&quot;#,##0.00"/>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164" formatCode="&quot;$&quot;#,##0.00"/>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164" formatCode="&quot;$&quot;#,##0.00"/>
    </dxf>
    <dxf>
      <numFmt numFmtId="0" formatCode="General"/>
    </dxf>
    <dxf>
      <numFmt numFmtId="19" formatCode="m/d/yyyy"/>
    </dxf>
    <dxf>
      <numFmt numFmtId="0" formatCode="General"/>
    </dxf>
    <dxf>
      <numFmt numFmtId="0" formatCode="General"/>
    </dxf>
    <dxf>
      <numFmt numFmtId="0" formatCode="General"/>
    </dxf>
    <dxf>
      <numFmt numFmtId="19" formatCode="m/d/yyyy"/>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Drop" dropStyle="combo" dx="31" fmlaLink="$A$4" fmlaRange="year" sel="2" val="0"/>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171450</xdr:colOff>
      <xdr:row>1</xdr:row>
      <xdr:rowOff>120650</xdr:rowOff>
    </xdr:from>
    <xdr:to>
      <xdr:col>5</xdr:col>
      <xdr:colOff>76200</xdr:colOff>
      <xdr:row>11</xdr:row>
      <xdr:rowOff>152400</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781050" y="304800"/>
          <a:ext cx="2343150" cy="1873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Brother Harrell told me that I might get docked for not</a:t>
          </a:r>
          <a:r>
            <a:rPr lang="en-US" sz="1100" baseline="0"/>
            <a:t> being relvant to my career with this project, but I promise that this helps me greatly with a business that I am lookng to start. It gave me a good analysis of what books are popular and what people like to read.</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44450</xdr:colOff>
      <xdr:row>1</xdr:row>
      <xdr:rowOff>152400</xdr:rowOff>
    </xdr:from>
    <xdr:to>
      <xdr:col>5</xdr:col>
      <xdr:colOff>101600</xdr:colOff>
      <xdr:row>6</xdr:row>
      <xdr:rowOff>69850</xdr:rowOff>
    </xdr:to>
    <xdr:sp macro="" textlink="">
      <xdr:nvSpPr>
        <xdr:cNvPr id="2" name="Rectangle: Rounded Corners 1">
          <a:extLst>
            <a:ext uri="{FF2B5EF4-FFF2-40B4-BE49-F238E27FC236}">
              <a16:creationId xmlns:a16="http://schemas.microsoft.com/office/drawing/2014/main" id="{00000000-0008-0000-0100-000002000000}"/>
            </a:ext>
          </a:extLst>
        </xdr:cNvPr>
        <xdr:cNvSpPr/>
      </xdr:nvSpPr>
      <xdr:spPr>
        <a:xfrm>
          <a:off x="654050" y="336550"/>
          <a:ext cx="2495550" cy="8382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 Click on the Dashboard</a:t>
          </a:r>
          <a:r>
            <a:rPr lang="en-US" sz="1100" baseline="0"/>
            <a:t> Sheet to view data on the New York Times BestSeller's List for the last three years</a:t>
          </a:r>
          <a:endParaRPr lang="en-US" sz="1100"/>
        </a:p>
      </xdr:txBody>
    </xdr:sp>
    <xdr:clientData/>
  </xdr:twoCellAnchor>
  <xdr:twoCellAnchor>
    <xdr:from>
      <xdr:col>5</xdr:col>
      <xdr:colOff>177800</xdr:colOff>
      <xdr:row>1</xdr:row>
      <xdr:rowOff>146050</xdr:rowOff>
    </xdr:from>
    <xdr:to>
      <xdr:col>9</xdr:col>
      <xdr:colOff>234950</xdr:colOff>
      <xdr:row>6</xdr:row>
      <xdr:rowOff>63500</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3225800" y="330200"/>
          <a:ext cx="2495550" cy="8382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 The</a:t>
          </a:r>
          <a:r>
            <a:rPr lang="en-US" sz="1100" baseline="0"/>
            <a:t> white drop down list shows date ranging from 2018-2021. Click on the arrow and choose a year.</a:t>
          </a:r>
          <a:endParaRPr lang="en-US" sz="1100"/>
        </a:p>
      </xdr:txBody>
    </xdr:sp>
    <xdr:clientData/>
  </xdr:twoCellAnchor>
  <xdr:twoCellAnchor>
    <xdr:from>
      <xdr:col>1</xdr:col>
      <xdr:colOff>57150</xdr:colOff>
      <xdr:row>6</xdr:row>
      <xdr:rowOff>146050</xdr:rowOff>
    </xdr:from>
    <xdr:to>
      <xdr:col>5</xdr:col>
      <xdr:colOff>114300</xdr:colOff>
      <xdr:row>11</xdr:row>
      <xdr:rowOff>63500</xdr:rowOff>
    </xdr:to>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666750" y="1250950"/>
          <a:ext cx="2495550" cy="8382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 Then go to the Authors</a:t>
          </a:r>
          <a:r>
            <a:rPr lang="en-US" sz="1100" baseline="0"/>
            <a:t> tab and click on its arrow to choose an author. Each Authors will be specific to the year that you have chosen.</a:t>
          </a:r>
          <a:endParaRPr lang="en-US" sz="1100"/>
        </a:p>
      </xdr:txBody>
    </xdr:sp>
    <xdr:clientData/>
  </xdr:twoCellAnchor>
  <xdr:twoCellAnchor>
    <xdr:from>
      <xdr:col>5</xdr:col>
      <xdr:colOff>171450</xdr:colOff>
      <xdr:row>6</xdr:row>
      <xdr:rowOff>152400</xdr:rowOff>
    </xdr:from>
    <xdr:to>
      <xdr:col>9</xdr:col>
      <xdr:colOff>228600</xdr:colOff>
      <xdr:row>11</xdr:row>
      <xdr:rowOff>69850</xdr:rowOff>
    </xdr:to>
    <xdr:sp macro="" textlink="">
      <xdr:nvSpPr>
        <xdr:cNvPr id="5" name="Rectangle: Rounded Corners 4">
          <a:extLst>
            <a:ext uri="{FF2B5EF4-FFF2-40B4-BE49-F238E27FC236}">
              <a16:creationId xmlns:a16="http://schemas.microsoft.com/office/drawing/2014/main" id="{00000000-0008-0000-0100-000005000000}"/>
            </a:ext>
          </a:extLst>
        </xdr:cNvPr>
        <xdr:cNvSpPr/>
      </xdr:nvSpPr>
      <xdr:spPr>
        <a:xfrm>
          <a:off x="3219450" y="1257300"/>
          <a:ext cx="2495550" cy="8382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 Finally, enjoy the analysis</a:t>
          </a:r>
          <a:r>
            <a:rPr lang="en-US" sz="1100" baseline="0"/>
            <a:t> of the authors book. It will show you its genre, price, and how long it has been on the New York Times list.</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292100</xdr:colOff>
          <xdr:row>2</xdr:row>
          <xdr:rowOff>184150</xdr:rowOff>
        </xdr:from>
        <xdr:to>
          <xdr:col>2</xdr:col>
          <xdr:colOff>177800</xdr:colOff>
          <xdr:row>4</xdr:row>
          <xdr:rowOff>12700</xdr:rowOff>
        </xdr:to>
        <xdr:sp macro="" textlink="">
          <xdr:nvSpPr>
            <xdr:cNvPr id="2056" name="Drop Down 8" hidden="1">
              <a:extLst>
                <a:ext uri="{63B3BB69-23CF-44E3-9099-C40C66FF867C}">
                  <a14:compatExt spid="_x0000_s2056"/>
                </a:ext>
                <a:ext uri="{FF2B5EF4-FFF2-40B4-BE49-F238E27FC236}">
                  <a16:creationId xmlns:a16="http://schemas.microsoft.com/office/drawing/2014/main" id="{00000000-0008-0000-02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0823E340-3797-4AD4-A529-4F5A9F32D5CA}" autoFormatId="16" applyNumberFormats="0" applyBorderFormats="0" applyFontFormats="0" applyPatternFormats="0" applyAlignmentFormats="0" applyWidthHeightFormats="0">
  <queryTableRefresh nextId="8" unboundColumnsRight="4">
    <queryTableFields count="7">
      <queryTableField id="1" name="Date" tableColumnId="1"/>
      <queryTableField id="2" name="Book" tableColumnId="2"/>
      <queryTableField id="3" name="Author" tableColumnId="3"/>
      <queryTableField id="4" dataBound="0" tableColumnId="4"/>
      <queryTableField id="5" dataBound="0" tableColumnId="5"/>
      <queryTableField id="6" dataBound="0" tableColumnId="6"/>
      <queryTableField id="7" dataBound="0"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 xr16:uid="{DD237852-A854-4F8E-8F2E-3EC7AA470BCF}" autoFormatId="16" applyNumberFormats="0" applyBorderFormats="0" applyFontFormats="0" applyPatternFormats="0" applyAlignmentFormats="0" applyWidthHeightFormats="0">
  <queryTableRefresh nextId="8" unboundColumnsRight="4">
    <queryTableFields count="7">
      <queryTableField id="1" name="Date" tableColumnId="1"/>
      <queryTableField id="2" name="Book" tableColumnId="2"/>
      <queryTableField id="3" name="Author" tableColumnId="3"/>
      <queryTableField id="4" dataBound="0" tableColumnId="4"/>
      <queryTableField id="5" dataBound="0" tableColumnId="5"/>
      <queryTableField id="6" dataBound="0" tableColumnId="6"/>
      <queryTableField id="7" dataBound="0"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6A05F71E-5A14-40B3-9B73-3740848C72BE}" autoFormatId="16" applyNumberFormats="0" applyBorderFormats="0" applyFontFormats="0" applyPatternFormats="0" applyAlignmentFormats="0" applyWidthHeightFormats="0">
  <queryTableRefresh nextId="8" unboundColumnsRight="4">
    <queryTableFields count="7">
      <queryTableField id="1" name="Date" tableColumnId="1"/>
      <queryTableField id="2" name="Book" tableColumnId="2"/>
      <queryTableField id="3" name="Author" tableColumnId="3"/>
      <queryTableField id="4" dataBound="0" tableColumnId="4"/>
      <queryTableField id="5" dataBound="0" tableColumnId="5"/>
      <queryTableField id="6" dataBound="0" tableColumnId="6"/>
      <queryTableField id="7" dataBound="0" tableColumnId="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9AE1759A-0B0D-46D0-8C26-E41B3A7997CF}" autoFormatId="16" applyNumberFormats="0" applyBorderFormats="0" applyFontFormats="0" applyPatternFormats="0" applyAlignmentFormats="0" applyWidthHeightFormats="0">
  <queryTableRefresh nextId="9">
    <queryTableFields count="8">
      <queryTableField id="1" name="Date" tableColumnId="1"/>
      <queryTableField id="2" name="Book" tableColumnId="2"/>
      <queryTableField id="3" name="Author" tableColumnId="3"/>
      <queryTableField id="6" dataBound="0" tableColumnId="6"/>
      <queryTableField id="5" dataBound="0" tableColumnId="5"/>
      <queryTableField id="8" dataBound="0" tableColumnId="8"/>
      <queryTableField id="7" dataBound="0" tableColumnId="7"/>
      <queryTableField id="4" name="Publisher"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A5186D2-12F3-4157-AD5F-C93DA6DF9F3E}" name="Table_0__4" displayName="Table_0__4" ref="A1:G53" tableType="queryTable" totalsRowShown="0">
  <autoFilter ref="A1:G53" xr:uid="{DA5186D2-12F3-4157-AD5F-C93DA6DF9F3E}"/>
  <tableColumns count="7">
    <tableColumn id="1" xr3:uid="{47D5A153-C245-40AD-B12B-B1DE9F8B526D}" uniqueName="1" name="Date" queryTableFieldId="1" dataDxfId="28"/>
    <tableColumn id="2" xr3:uid="{30C4FC26-41A6-470E-B59A-CF1191620921}" uniqueName="2" name="Book" queryTableFieldId="2" dataDxfId="27"/>
    <tableColumn id="3" xr3:uid="{F1970CF0-3460-4CE9-8E15-8695094931B6}" uniqueName="3" name="Author" queryTableFieldId="3" dataDxfId="26"/>
    <tableColumn id="4" xr3:uid="{5C5C8120-EF27-4605-9DB0-17BDACE0C6B7}" uniqueName="4" name="Column1" queryTableFieldId="4" dataDxfId="25">
      <calculatedColumnFormula>Table_0__4[[#This Row],[Book]]</calculatedColumnFormula>
    </tableColumn>
    <tableColumn id="5" xr3:uid="{CEDF2ACC-6212-44BF-A782-92E41730F7D0}" uniqueName="5" name="Column2" queryTableFieldId="5" dataDxfId="24">
      <calculatedColumnFormula>Table_0__4[[#This Row],[Date]]</calculatedColumnFormula>
    </tableColumn>
    <tableColumn id="6" xr3:uid="{BB6B0260-06AC-4257-A660-E6044DCB3033}" uniqueName="6" name="Genre" queryTableFieldId="6" dataDxfId="23"/>
    <tableColumn id="7" xr3:uid="{BB25127B-1A9F-4B07-9064-CF15570A5D52}" uniqueName="7" name="Price" queryTableFieldId="7" dataDxfId="2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DD74FA3-9AFE-4A76-BC1B-02D64A09A53E}" name="Table_0__3" displayName="Table_0__3" ref="A1:G53" tableType="queryTable" totalsRowShown="0">
  <autoFilter ref="A1:G53" xr:uid="{4DD74FA3-9AFE-4A76-BC1B-02D64A09A53E}"/>
  <tableColumns count="7">
    <tableColumn id="1" xr3:uid="{C1108D03-61FA-45C4-B15F-4708E9C1AA10}" uniqueName="1" name="Date" queryTableFieldId="1" dataDxfId="21"/>
    <tableColumn id="2" xr3:uid="{299B81DB-D5AE-4DF6-A79D-6FCF4A736096}" uniqueName="2" name="Book" queryTableFieldId="2" dataDxfId="20"/>
    <tableColumn id="3" xr3:uid="{1EFC8179-1812-42E4-A51F-82C0D5959A36}" uniqueName="3" name="Author" queryTableFieldId="3" dataDxfId="19"/>
    <tableColumn id="4" xr3:uid="{136CB0ED-851C-43DA-8056-9CCD571D88A3}" uniqueName="4" name="Column1" queryTableFieldId="4" dataDxfId="18">
      <calculatedColumnFormula>Table_0__3[[#This Row],[Book]]</calculatedColumnFormula>
    </tableColumn>
    <tableColumn id="5" xr3:uid="{07E01F9E-6794-4A6C-AC7E-9B283FA4C7AB}" uniqueName="5" name="Column2" queryTableFieldId="5" dataDxfId="17">
      <calculatedColumnFormula>Table_0__3[[#This Row],[Date]]</calculatedColumnFormula>
    </tableColumn>
    <tableColumn id="6" xr3:uid="{E6DAF056-9C99-4820-83FD-365AB0665136}" uniqueName="6" name="Genre" queryTableFieldId="6" dataDxfId="16"/>
    <tableColumn id="7" xr3:uid="{745A5B3F-74B6-4203-ACA0-3127F71F4C34}" uniqueName="7" name="Price" queryTableFieldId="7" dataDxf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FA40BC7-BB5C-4C16-A7A7-E675CC8665D2}" name="Table_0__2" displayName="Table_0__2" ref="A1:G53" tableType="queryTable" totalsRowShown="0">
  <autoFilter ref="A1:G53" xr:uid="{6FA40BC7-BB5C-4C16-A7A7-E675CC8665D2}"/>
  <tableColumns count="7">
    <tableColumn id="1" xr3:uid="{37863A63-BDF7-4750-ACD4-8A20D41FCDBD}" uniqueName="1" name="Date" queryTableFieldId="1" dataDxfId="14"/>
    <tableColumn id="2" xr3:uid="{6098641C-5BA5-4F24-A1B5-21F06E549CE7}" uniqueName="2" name="Book" queryTableFieldId="2" dataDxfId="13"/>
    <tableColumn id="3" xr3:uid="{BAD01332-196A-42D4-BCBE-216374C99EB1}" uniqueName="3" name="Author" queryTableFieldId="3" dataDxfId="12"/>
    <tableColumn id="4" xr3:uid="{54F6DCF0-855D-4A35-821B-DDAB7F4E445C}" uniqueName="4" name="Column1" queryTableFieldId="4" dataDxfId="11">
      <calculatedColumnFormula>Table_0__2[[#This Row],[Book]]</calculatedColumnFormula>
    </tableColumn>
    <tableColumn id="5" xr3:uid="{8F949D05-A4FC-4A7F-ACD9-34BA5FCB0DD0}" uniqueName="5" name="Column2" queryTableFieldId="5" dataDxfId="10">
      <calculatedColumnFormula>Table_0__2[[#This Row],[Date]]</calculatedColumnFormula>
    </tableColumn>
    <tableColumn id="6" xr3:uid="{1B80FFA7-58EA-499F-AEB6-5AE84C384961}" uniqueName="6" name="Genre" queryTableFieldId="6" dataDxfId="9"/>
    <tableColumn id="7" xr3:uid="{35928EB6-440F-4E69-A9F7-4296FD5B1FAA}" uniqueName="7" name="Price" queryTableFieldId="7" dataDxfId="8"/>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0B2FD40-DE5A-46CF-9F89-9869D35EB008}" name="Table_0" displayName="Table_0" ref="A1:H30" tableType="queryTable" totalsRowShown="0">
  <autoFilter ref="A1:H30" xr:uid="{60B2FD40-DE5A-46CF-9F89-9869D35EB008}"/>
  <tableColumns count="8">
    <tableColumn id="1" xr3:uid="{D961856A-871C-4674-8AB5-019A569A0492}" uniqueName="1" name="Date" queryTableFieldId="1" dataDxfId="7"/>
    <tableColumn id="2" xr3:uid="{30AFBA27-78D7-4E9D-9C98-D219A0C9DF29}" uniqueName="2" name="Book" queryTableFieldId="2" dataDxfId="6"/>
    <tableColumn id="3" xr3:uid="{0F1AFC6E-52DD-45C5-B5D2-30DD0C0C69A9}" uniqueName="3" name="Author" queryTableFieldId="3" dataDxfId="5"/>
    <tableColumn id="6" xr3:uid="{8B9EA7ED-17EC-4558-8989-D05F462D838F}" uniqueName="6" name="Column2" queryTableFieldId="6" dataDxfId="4">
      <calculatedColumnFormula>Table_0[[#This Row],[Book]]</calculatedColumnFormula>
    </tableColumn>
    <tableColumn id="5" xr3:uid="{CE29B67B-22FA-4C5B-BFE1-4711B68D763A}" uniqueName="5" name="Column1" queryTableFieldId="5" dataDxfId="3">
      <calculatedColumnFormula>Table_0[[#This Row],[Date]]</calculatedColumnFormula>
    </tableColumn>
    <tableColumn id="8" xr3:uid="{13F68766-AD1B-4BD7-A1FA-7DA976F38AB0}" uniqueName="8" name="Genre" queryTableFieldId="8" dataDxfId="2"/>
    <tableColumn id="7" xr3:uid="{B1AEF242-D34E-44CA-9FF4-64E8DEF031FF}" uniqueName="7" name="Price" queryTableFieldId="7" dataDxfId="1"/>
    <tableColumn id="4" xr3:uid="{D6A3F0A7-21EE-4235-A2C8-7E3ABA104C9B}" uniqueName="4" name="Publisher" queryTableFieldId="4"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17" Type="http://schemas.openxmlformats.org/officeDocument/2006/relationships/hyperlink" Target="https://en.wikipedia.org/wiki/Doubleday_(publisher)" TargetMode="External"/><Relationship Id="rId21" Type="http://schemas.openxmlformats.org/officeDocument/2006/relationships/hyperlink" Target="https://en.wikipedia.org/wiki/The_Outsider_(King_novel)" TargetMode="External"/><Relationship Id="rId42" Type="http://schemas.openxmlformats.org/officeDocument/2006/relationships/hyperlink" Target="https://en.wikipedia.org/wiki/Janet_Evanovich" TargetMode="External"/><Relationship Id="rId63" Type="http://schemas.openxmlformats.org/officeDocument/2006/relationships/hyperlink" Target="https://en.wikipedia.org/wiki/Louise_Penny" TargetMode="External"/><Relationship Id="rId84" Type="http://schemas.openxmlformats.org/officeDocument/2006/relationships/hyperlink" Target="https://en.wikipedia.org/wiki/Hilary_Mantel" TargetMode="External"/><Relationship Id="rId138" Type="http://schemas.openxmlformats.org/officeDocument/2006/relationships/hyperlink" Target="https://en.wikipedia.org/wiki/Laura_Dave" TargetMode="External"/><Relationship Id="rId107" Type="http://schemas.openxmlformats.org/officeDocument/2006/relationships/hyperlink" Target="https://en.wikipedia.org/wiki/Nicholas_Sparks" TargetMode="External"/><Relationship Id="rId11" Type="http://schemas.openxmlformats.org/officeDocument/2006/relationships/hyperlink" Target="https://en.wikipedia.org/wiki/Patricia_Briggs" TargetMode="External"/><Relationship Id="rId32" Type="http://schemas.openxmlformats.org/officeDocument/2006/relationships/hyperlink" Target="https://en.wikipedia.org/wiki/James_Patterson" TargetMode="External"/><Relationship Id="rId37" Type="http://schemas.openxmlformats.org/officeDocument/2006/relationships/hyperlink" Target="https://en.wikipedia.org/wiki/Nicholas_Sparks" TargetMode="External"/><Relationship Id="rId53" Type="http://schemas.openxmlformats.org/officeDocument/2006/relationships/hyperlink" Target="https://en.wikipedia.org/wiki/Danielle_Steel" TargetMode="External"/><Relationship Id="rId58" Type="http://schemas.openxmlformats.org/officeDocument/2006/relationships/hyperlink" Target="https://en.wikipedia.org/wiki/18th_Abduction" TargetMode="External"/><Relationship Id="rId74" Type="http://schemas.openxmlformats.org/officeDocument/2006/relationships/hyperlink" Target="https://en.wikipedia.org/wiki/Where_the_Crawdads_Sing" TargetMode="External"/><Relationship Id="rId79" Type="http://schemas.openxmlformats.org/officeDocument/2006/relationships/hyperlink" Target="https://en.wikipedia.org/wiki/Nora_Roberts" TargetMode="External"/><Relationship Id="rId102" Type="http://schemas.openxmlformats.org/officeDocument/2006/relationships/hyperlink" Target="https://en.wikipedia.org/wiki/Sandra_Brown" TargetMode="External"/><Relationship Id="rId123" Type="http://schemas.openxmlformats.org/officeDocument/2006/relationships/hyperlink" Target="https://en.wikipedia.org/wiki/St._Martin%27s_Press" TargetMode="External"/><Relationship Id="rId128" Type="http://schemas.openxmlformats.org/officeDocument/2006/relationships/hyperlink" Target="https://en.wikipedia.org/wiki/Emily_Bestler_Books" TargetMode="External"/><Relationship Id="rId144" Type="http://schemas.openxmlformats.org/officeDocument/2006/relationships/hyperlink" Target="https://en.wikipedia.org/wiki/Harper_Perennial" TargetMode="External"/><Relationship Id="rId5" Type="http://schemas.openxmlformats.org/officeDocument/2006/relationships/hyperlink" Target="https://en.wikipedia.org/wiki/A.J._Finn" TargetMode="External"/><Relationship Id="rId90" Type="http://schemas.openxmlformats.org/officeDocument/2006/relationships/hyperlink" Target="https://en.wikipedia.org/wiki/John_Grisham" TargetMode="External"/><Relationship Id="rId95" Type="http://schemas.openxmlformats.org/officeDocument/2006/relationships/hyperlink" Target="https://en.wikipedia.org/wiki/Brit_Bennett" TargetMode="External"/><Relationship Id="rId22" Type="http://schemas.openxmlformats.org/officeDocument/2006/relationships/hyperlink" Target="https://en.wikipedia.org/wiki/Stephen_King" TargetMode="External"/><Relationship Id="rId27" Type="http://schemas.openxmlformats.org/officeDocument/2006/relationships/hyperlink" Target="https://en.wikipedia.org/wiki/Origin_(Brown_novel)" TargetMode="External"/><Relationship Id="rId43" Type="http://schemas.openxmlformats.org/officeDocument/2006/relationships/hyperlink" Target="https://en.wikipedia.org/wiki/Fire_%26_Blood_(novel)" TargetMode="External"/><Relationship Id="rId48" Type="http://schemas.openxmlformats.org/officeDocument/2006/relationships/hyperlink" Target="https://en.wikipedia.org/wiki/John_Grisham" TargetMode="External"/><Relationship Id="rId64" Type="http://schemas.openxmlformats.org/officeDocument/2006/relationships/hyperlink" Target="https://en.wikipedia.org/wiki/J._D._Robb" TargetMode="External"/><Relationship Id="rId69" Type="http://schemas.openxmlformats.org/officeDocument/2006/relationships/hyperlink" Target="https://en.wikipedia.org/wiki/John_Sandford_(novelist)" TargetMode="External"/><Relationship Id="rId113" Type="http://schemas.openxmlformats.org/officeDocument/2006/relationships/hyperlink" Target="https://en.wikipedia.org/wiki/Ready_Player_Two" TargetMode="External"/><Relationship Id="rId118" Type="http://schemas.openxmlformats.org/officeDocument/2006/relationships/hyperlink" Target="https://en.wikipedia.org/wiki/Julia_Quinn" TargetMode="External"/><Relationship Id="rId134" Type="http://schemas.openxmlformats.org/officeDocument/2006/relationships/hyperlink" Target="https://en.wikipedia.org/wiki/G._P._Putnam%27s_Sons" TargetMode="External"/><Relationship Id="rId139" Type="http://schemas.openxmlformats.org/officeDocument/2006/relationships/hyperlink" Target="https://en.wikipedia.org/wiki/Nora_Roberts" TargetMode="External"/><Relationship Id="rId80" Type="http://schemas.openxmlformats.org/officeDocument/2006/relationships/hyperlink" Target="https://en.wikipedia.org/wiki/One_Minute_Out_(novel)" TargetMode="External"/><Relationship Id="rId85" Type="http://schemas.openxmlformats.org/officeDocument/2006/relationships/hyperlink" Target="https://en.wikipedia.org/wiki/Harlan_Coben" TargetMode="External"/><Relationship Id="rId12" Type="http://schemas.openxmlformats.org/officeDocument/2006/relationships/hyperlink" Target="https://en.wikipedia.org/wiki/Clive_Cussler" TargetMode="External"/><Relationship Id="rId17" Type="http://schemas.openxmlformats.org/officeDocument/2006/relationships/hyperlink" Target="https://en.wikipedia.org/wiki/Jessica_Bird" TargetMode="External"/><Relationship Id="rId33" Type="http://schemas.openxmlformats.org/officeDocument/2006/relationships/hyperlink" Target="https://en.wikipedia.org/wiki/J.K._Rowling" TargetMode="External"/><Relationship Id="rId38" Type="http://schemas.openxmlformats.org/officeDocument/2006/relationships/hyperlink" Target="https://en.wikipedia.org/wiki/The_Reckoning_(Grisham_novel)" TargetMode="External"/><Relationship Id="rId59" Type="http://schemas.openxmlformats.org/officeDocument/2006/relationships/hyperlink" Target="https://en.wikipedia.org/wiki/Elin_Hilderbrand" TargetMode="External"/><Relationship Id="rId103" Type="http://schemas.openxmlformats.org/officeDocument/2006/relationships/hyperlink" Target="https://en.wikipedia.org/wiki/Louise_Penny" TargetMode="External"/><Relationship Id="rId108" Type="http://schemas.openxmlformats.org/officeDocument/2006/relationships/hyperlink" Target="https://en.wikipedia.org/wiki/Elin_Hilderbrand" TargetMode="External"/><Relationship Id="rId124" Type="http://schemas.openxmlformats.org/officeDocument/2006/relationships/hyperlink" Target="https://en.wikipedia.org/wiki/A_Court_of_Thorns_and_Roses" TargetMode="External"/><Relationship Id="rId129" Type="http://schemas.openxmlformats.org/officeDocument/2006/relationships/hyperlink" Target="https://en.wikipedia.org/wiki/Harlen_Coben" TargetMode="External"/><Relationship Id="rId54" Type="http://schemas.openxmlformats.org/officeDocument/2006/relationships/hyperlink" Target="https://en.wikipedia.org/wiki/Where_the_Crawdads_Sing" TargetMode="External"/><Relationship Id="rId70" Type="http://schemas.openxmlformats.org/officeDocument/2006/relationships/hyperlink" Target="https://en.wikipedia.org/wiki/John_Grisham" TargetMode="External"/><Relationship Id="rId75" Type="http://schemas.openxmlformats.org/officeDocument/2006/relationships/hyperlink" Target="https://en.wikipedia.org/wiki/Delia_Owens" TargetMode="External"/><Relationship Id="rId91" Type="http://schemas.openxmlformats.org/officeDocument/2006/relationships/hyperlink" Target="https://en.wikipedia.org/wiki/Women%27s_Murder_Club_(novel_series)" TargetMode="External"/><Relationship Id="rId96" Type="http://schemas.openxmlformats.org/officeDocument/2006/relationships/hyperlink" Target="https://en.wikipedia.org/wiki/Brendan_DuBois" TargetMode="External"/><Relationship Id="rId140" Type="http://schemas.openxmlformats.org/officeDocument/2006/relationships/hyperlink" Target="https://en.wikipedia.org/w/index.php?title=Freed:_Fifty_Shades_Freed_as_Told_by_Christian&amp;action=edit&amp;redlink=1" TargetMode="External"/><Relationship Id="rId1" Type="http://schemas.openxmlformats.org/officeDocument/2006/relationships/hyperlink" Target="https://en.wikipedia.org/wiki/Origin_(Brown_novel)" TargetMode="External"/><Relationship Id="rId6" Type="http://schemas.openxmlformats.org/officeDocument/2006/relationships/hyperlink" Target="https://en.wikipedia.org/wiki/City_of_Endless_Night" TargetMode="External"/><Relationship Id="rId23" Type="http://schemas.openxmlformats.org/officeDocument/2006/relationships/hyperlink" Target="https://en.wikipedia.org/wiki/Nora_Roberts" TargetMode="External"/><Relationship Id="rId28" Type="http://schemas.openxmlformats.org/officeDocument/2006/relationships/hyperlink" Target="https://en.wikipedia.org/wiki/Dan_Brown" TargetMode="External"/><Relationship Id="rId49" Type="http://schemas.openxmlformats.org/officeDocument/2006/relationships/hyperlink" Target="https://en.wikipedia.org/wiki/The_Reckoning_(Grisham_novel)" TargetMode="External"/><Relationship Id="rId114" Type="http://schemas.openxmlformats.org/officeDocument/2006/relationships/hyperlink" Target="https://en.wikipedia.org/wiki/Ernest_Cline" TargetMode="External"/><Relationship Id="rId119" Type="http://schemas.openxmlformats.org/officeDocument/2006/relationships/hyperlink" Target="https://en.wikipedia.org/wiki/Julia_Quinn" TargetMode="External"/><Relationship Id="rId44" Type="http://schemas.openxmlformats.org/officeDocument/2006/relationships/hyperlink" Target="https://en.wikipedia.org/wiki/George_R._R._Martin" TargetMode="External"/><Relationship Id="rId60" Type="http://schemas.openxmlformats.org/officeDocument/2006/relationships/hyperlink" Target="https://en.wikipedia.org/wiki/Nora_Roberts" TargetMode="External"/><Relationship Id="rId65" Type="http://schemas.openxmlformats.org/officeDocument/2006/relationships/hyperlink" Target="https://en.wikipedia.org/wiki/The_Institute_(novel)" TargetMode="External"/><Relationship Id="rId81" Type="http://schemas.openxmlformats.org/officeDocument/2006/relationships/hyperlink" Target="https://en.wikipedia.org/wiki/Mark_Greaney_(novelist)" TargetMode="External"/><Relationship Id="rId86" Type="http://schemas.openxmlformats.org/officeDocument/2006/relationships/hyperlink" Target="https://en.wikipedia.org/wiki/Little_Fires_Everywhere_(novel)" TargetMode="External"/><Relationship Id="rId130" Type="http://schemas.openxmlformats.org/officeDocument/2006/relationships/hyperlink" Target="https://en.wikipedia.org/wiki/Grand_Central_Publishing" TargetMode="External"/><Relationship Id="rId135" Type="http://schemas.openxmlformats.org/officeDocument/2006/relationships/hyperlink" Target="https://en.wikipedia.org/wiki/David_Baldacci" TargetMode="External"/><Relationship Id="rId13" Type="http://schemas.openxmlformats.org/officeDocument/2006/relationships/hyperlink" Target="https://en.wikipedia.org/wiki/Danielle_Steel" TargetMode="External"/><Relationship Id="rId18" Type="http://schemas.openxmlformats.org/officeDocument/2006/relationships/hyperlink" Target="https://en.wikipedia.org/wiki/David_Baldacci" TargetMode="External"/><Relationship Id="rId39" Type="http://schemas.openxmlformats.org/officeDocument/2006/relationships/hyperlink" Target="https://en.wikipedia.org/wiki/John_Grisham" TargetMode="External"/><Relationship Id="rId109" Type="http://schemas.openxmlformats.org/officeDocument/2006/relationships/hyperlink" Target="https://en.wikipedia.org/wiki/Janet_Evanovich" TargetMode="External"/><Relationship Id="rId34" Type="http://schemas.openxmlformats.org/officeDocument/2006/relationships/hyperlink" Target="https://en.wikipedia.org/wiki/Kyle_Mills_(author)" TargetMode="External"/><Relationship Id="rId50" Type="http://schemas.openxmlformats.org/officeDocument/2006/relationships/hyperlink" Target="https://en.wikipedia.org/wiki/John_Grisham" TargetMode="External"/><Relationship Id="rId55" Type="http://schemas.openxmlformats.org/officeDocument/2006/relationships/hyperlink" Target="https://en.wikipedia.org/wiki/Delia_Owens" TargetMode="External"/><Relationship Id="rId76" Type="http://schemas.openxmlformats.org/officeDocument/2006/relationships/hyperlink" Target="https://en.wikipedia.org/wiki/American_Dirt" TargetMode="External"/><Relationship Id="rId97" Type="http://schemas.openxmlformats.org/officeDocument/2006/relationships/hyperlink" Target="https://en.wikipedia.org/wiki/Elin_Hilderbrand" TargetMode="External"/><Relationship Id="rId104" Type="http://schemas.openxmlformats.org/officeDocument/2006/relationships/hyperlink" Target="https://en.wikipedia.org/wiki/Nora_Roberts" TargetMode="External"/><Relationship Id="rId120" Type="http://schemas.openxmlformats.org/officeDocument/2006/relationships/hyperlink" Target="https://en.wikipedia.org/wiki/Avon_(publisher)" TargetMode="External"/><Relationship Id="rId125" Type="http://schemas.openxmlformats.org/officeDocument/2006/relationships/hyperlink" Target="https://en.wikipedia.org/wiki/Sarah_J._Maas" TargetMode="External"/><Relationship Id="rId141" Type="http://schemas.openxmlformats.org/officeDocument/2006/relationships/hyperlink" Target="https://en.wikipedia.org/wiki/E._L._James" TargetMode="External"/><Relationship Id="rId7" Type="http://schemas.openxmlformats.org/officeDocument/2006/relationships/hyperlink" Target="https://en.wikipedia.org/wiki/Christine_Feehan" TargetMode="External"/><Relationship Id="rId71" Type="http://schemas.openxmlformats.org/officeDocument/2006/relationships/hyperlink" Target="https://en.wikipedia.org/wiki/Michael_Connelly" TargetMode="External"/><Relationship Id="rId92" Type="http://schemas.openxmlformats.org/officeDocument/2006/relationships/hyperlink" Target="https://en.wikipedia.org/wiki/Maxine_Paetro" TargetMode="External"/><Relationship Id="rId2" Type="http://schemas.openxmlformats.org/officeDocument/2006/relationships/hyperlink" Target="https://en.wikipedia.org/wiki/Dan_Brown" TargetMode="External"/><Relationship Id="rId29" Type="http://schemas.openxmlformats.org/officeDocument/2006/relationships/hyperlink" Target="https://en.wikipedia.org/wiki/Sandra_Brown" TargetMode="External"/><Relationship Id="rId24" Type="http://schemas.openxmlformats.org/officeDocument/2006/relationships/hyperlink" Target="https://en.wikipedia.org/wiki/The_President_Is_Missing_(novel)" TargetMode="External"/><Relationship Id="rId40" Type="http://schemas.openxmlformats.org/officeDocument/2006/relationships/hyperlink" Target="https://en.wikipedia.org/wiki/Michael_Connelly" TargetMode="External"/><Relationship Id="rId45" Type="http://schemas.openxmlformats.org/officeDocument/2006/relationships/hyperlink" Target="https://en.wikipedia.org/wiki/Louise_Penny" TargetMode="External"/><Relationship Id="rId66" Type="http://schemas.openxmlformats.org/officeDocument/2006/relationships/hyperlink" Target="https://en.wikipedia.org/wiki/Stephen_King" TargetMode="External"/><Relationship Id="rId87" Type="http://schemas.openxmlformats.org/officeDocument/2006/relationships/hyperlink" Target="https://en.wikipedia.org/wiki/Celeste_Ng" TargetMode="External"/><Relationship Id="rId110" Type="http://schemas.openxmlformats.org/officeDocument/2006/relationships/hyperlink" Target="https://en.wikipedia.org/wiki/Michael_Connelly" TargetMode="External"/><Relationship Id="rId115" Type="http://schemas.openxmlformats.org/officeDocument/2006/relationships/hyperlink" Target="https://en.wikipedia.org/wiki/A_Time_for_Mercy" TargetMode="External"/><Relationship Id="rId131" Type="http://schemas.openxmlformats.org/officeDocument/2006/relationships/hyperlink" Target="https://en.wikipedia.org/wiki/The_Hill_We_Climb" TargetMode="External"/><Relationship Id="rId136" Type="http://schemas.openxmlformats.org/officeDocument/2006/relationships/hyperlink" Target="https://en.wikipedia.org/wiki/Maxine_Paetro" TargetMode="External"/><Relationship Id="rId61" Type="http://schemas.openxmlformats.org/officeDocument/2006/relationships/hyperlink" Target="https://en.wikipedia.org/wiki/Daniel_Silva_(novelist)" TargetMode="External"/><Relationship Id="rId82" Type="http://schemas.openxmlformats.org/officeDocument/2006/relationships/hyperlink" Target="https://en.wikipedia.org/wiki/Sarah_J._Maas" TargetMode="External"/><Relationship Id="rId19" Type="http://schemas.openxmlformats.org/officeDocument/2006/relationships/hyperlink" Target="https://en.wikipedia.org/wiki/John_Sandford_(novelist)" TargetMode="External"/><Relationship Id="rId14" Type="http://schemas.openxmlformats.org/officeDocument/2006/relationships/hyperlink" Target="https://en.wikipedia.org/wiki/C._J._Box" TargetMode="External"/><Relationship Id="rId30" Type="http://schemas.openxmlformats.org/officeDocument/2006/relationships/hyperlink" Target="https://en.wikipedia.org/wiki/Crazy_Rich_Asians" TargetMode="External"/><Relationship Id="rId35" Type="http://schemas.openxmlformats.org/officeDocument/2006/relationships/hyperlink" Target="https://en.wikipedia.org/wiki/Jodi_Picoult" TargetMode="External"/><Relationship Id="rId56" Type="http://schemas.openxmlformats.org/officeDocument/2006/relationships/hyperlink" Target="https://en.wikipedia.org/wiki/Nora_Roberts" TargetMode="External"/><Relationship Id="rId77" Type="http://schemas.openxmlformats.org/officeDocument/2006/relationships/hyperlink" Target="https://en.wikipedia.org/wiki/Jeanine_Cummins" TargetMode="External"/><Relationship Id="rId100" Type="http://schemas.openxmlformats.org/officeDocument/2006/relationships/hyperlink" Target="https://en.wikipedia.org/wiki/Catherine_Coulter" TargetMode="External"/><Relationship Id="rId105" Type="http://schemas.openxmlformats.org/officeDocument/2006/relationships/hyperlink" Target="https://en.wikipedia.org/wiki/Ken_Follett" TargetMode="External"/><Relationship Id="rId126" Type="http://schemas.openxmlformats.org/officeDocument/2006/relationships/hyperlink" Target="https://en.wikipedia.org/wiki/Bloomsbury_Publishing" TargetMode="External"/><Relationship Id="rId8" Type="http://schemas.openxmlformats.org/officeDocument/2006/relationships/hyperlink" Target="https://en.wikipedia.org/wiki/Nora_Roberts" TargetMode="External"/><Relationship Id="rId51" Type="http://schemas.openxmlformats.org/officeDocument/2006/relationships/hyperlink" Target="https://en.wikipedia.org/wiki/David_Baldacci" TargetMode="External"/><Relationship Id="rId72" Type="http://schemas.openxmlformats.org/officeDocument/2006/relationships/hyperlink" Target="https://en.wikipedia.org/wiki/Lee_Child" TargetMode="External"/><Relationship Id="rId93" Type="http://schemas.openxmlformats.org/officeDocument/2006/relationships/hyperlink" Target="https://en.wikipedia.org/wiki/Nora_Roberts" TargetMode="External"/><Relationship Id="rId98" Type="http://schemas.openxmlformats.org/officeDocument/2006/relationships/hyperlink" Target="https://en.wikipedia.org/wiki/Daniel_Silva_(novelist)" TargetMode="External"/><Relationship Id="rId121" Type="http://schemas.openxmlformats.org/officeDocument/2006/relationships/hyperlink" Target="https://en.wikipedia.org/wiki/Little,_Brown_and_Company" TargetMode="External"/><Relationship Id="rId142" Type="http://schemas.openxmlformats.org/officeDocument/2006/relationships/hyperlink" Target="https://en.wikipedia.org/wiki/Sourcebooks" TargetMode="External"/><Relationship Id="rId3" Type="http://schemas.openxmlformats.org/officeDocument/2006/relationships/hyperlink" Target="https://en.wikipedia.org/wiki/James_Patterson" TargetMode="External"/><Relationship Id="rId25" Type="http://schemas.openxmlformats.org/officeDocument/2006/relationships/hyperlink" Target="https://en.wikipedia.org/wiki/Bill_Clinton" TargetMode="External"/><Relationship Id="rId46" Type="http://schemas.openxmlformats.org/officeDocument/2006/relationships/hyperlink" Target="https://en.wikipedia.org/wiki/Of_Blood_and_Bone" TargetMode="External"/><Relationship Id="rId67" Type="http://schemas.openxmlformats.org/officeDocument/2006/relationships/hyperlink" Target="https://en.wikipedia.org/wiki/The_Water_Dancer" TargetMode="External"/><Relationship Id="rId116" Type="http://schemas.openxmlformats.org/officeDocument/2006/relationships/hyperlink" Target="https://en.wikipedia.org/wiki/John_Grisham" TargetMode="External"/><Relationship Id="rId137" Type="http://schemas.openxmlformats.org/officeDocument/2006/relationships/hyperlink" Target="https://en.wikipedia.org/wiki/Stacey_Abrams" TargetMode="External"/><Relationship Id="rId20" Type="http://schemas.openxmlformats.org/officeDocument/2006/relationships/hyperlink" Target="https://en.wikipedia.org/wiki/Maxine_Paetro" TargetMode="External"/><Relationship Id="rId41" Type="http://schemas.openxmlformats.org/officeDocument/2006/relationships/hyperlink" Target="https://en.wikipedia.org/wiki/Lee_Child" TargetMode="External"/><Relationship Id="rId62" Type="http://schemas.openxmlformats.org/officeDocument/2006/relationships/hyperlink" Target="https://en.wikipedia.org/wiki/David_Baldacci" TargetMode="External"/><Relationship Id="rId83" Type="http://schemas.openxmlformats.org/officeDocument/2006/relationships/hyperlink" Target="https://en.wikipedia.org/wiki/The_Mirror_and_the_Light" TargetMode="External"/><Relationship Id="rId88" Type="http://schemas.openxmlformats.org/officeDocument/2006/relationships/hyperlink" Target="https://en.wikipedia.org/wiki/John_Sandford_(novelist)" TargetMode="External"/><Relationship Id="rId111" Type="http://schemas.openxmlformats.org/officeDocument/2006/relationships/hyperlink" Target="https://en.wikipedia.org/wiki/Rhythm_of_War" TargetMode="External"/><Relationship Id="rId132" Type="http://schemas.openxmlformats.org/officeDocument/2006/relationships/hyperlink" Target="https://en.wikipedia.org/wiki/Amanda_Gorman" TargetMode="External"/><Relationship Id="rId15" Type="http://schemas.openxmlformats.org/officeDocument/2006/relationships/hyperlink" Target="https://en.wikipedia.org/wiki/Ready_Player_One" TargetMode="External"/><Relationship Id="rId36" Type="http://schemas.openxmlformats.org/officeDocument/2006/relationships/hyperlink" Target="https://en.wikipedia.org/wiki/John_Sanford_(author)" TargetMode="External"/><Relationship Id="rId57" Type="http://schemas.openxmlformats.org/officeDocument/2006/relationships/hyperlink" Target="https://en.wikipedia.org/wiki/John_Sandford_(novelist)" TargetMode="External"/><Relationship Id="rId106" Type="http://schemas.openxmlformats.org/officeDocument/2006/relationships/hyperlink" Target="https://en.wikipedia.org/wiki/Jodi_Picoult" TargetMode="External"/><Relationship Id="rId127" Type="http://schemas.openxmlformats.org/officeDocument/2006/relationships/hyperlink" Target="https://en.wikipedia.org/wiki/Sister_Souljah" TargetMode="External"/><Relationship Id="rId10" Type="http://schemas.openxmlformats.org/officeDocument/2006/relationships/hyperlink" Target="https://en.wikipedia.org/wiki/Kristin_Hannah" TargetMode="External"/><Relationship Id="rId31" Type="http://schemas.openxmlformats.org/officeDocument/2006/relationships/hyperlink" Target="https://en.wikipedia.org/wiki/Kevin_Kwan" TargetMode="External"/><Relationship Id="rId52" Type="http://schemas.openxmlformats.org/officeDocument/2006/relationships/hyperlink" Target="https://en.wikipedia.org/wiki/Verses_for_the_Dead" TargetMode="External"/><Relationship Id="rId73" Type="http://schemas.openxmlformats.org/officeDocument/2006/relationships/hyperlink" Target="https://en.wikipedia.org/wiki/Janet_Evanovich" TargetMode="External"/><Relationship Id="rId78" Type="http://schemas.openxmlformats.org/officeDocument/2006/relationships/hyperlink" Target="https://en.wikipedia.org/wiki/In_Death" TargetMode="External"/><Relationship Id="rId94" Type="http://schemas.openxmlformats.org/officeDocument/2006/relationships/hyperlink" Target="https://en.wikipedia.org/wiki/The_Vanishing_Half" TargetMode="External"/><Relationship Id="rId99" Type="http://schemas.openxmlformats.org/officeDocument/2006/relationships/hyperlink" Target="https://en.wikipedia.org/wiki/Brad_Thor" TargetMode="External"/><Relationship Id="rId101" Type="http://schemas.openxmlformats.org/officeDocument/2006/relationships/hyperlink" Target="https://en.wikipedia.org/wiki/Danielle_Steel" TargetMode="External"/><Relationship Id="rId122" Type="http://schemas.openxmlformats.org/officeDocument/2006/relationships/hyperlink" Target="https://en.wikipedia.org/wiki/Kristin_Hannah" TargetMode="External"/><Relationship Id="rId143" Type="http://schemas.openxmlformats.org/officeDocument/2006/relationships/hyperlink" Target="https://en.wikipedia.org/wiki/Quentin_Tarantino" TargetMode="External"/><Relationship Id="rId4" Type="http://schemas.openxmlformats.org/officeDocument/2006/relationships/hyperlink" Target="https://en.wikipedia.org/wiki/The_Woman_in_the_Window_(novel)" TargetMode="External"/><Relationship Id="rId9" Type="http://schemas.openxmlformats.org/officeDocument/2006/relationships/hyperlink" Target="https://en.wikipedia.org/wiki/The_Great_Alone" TargetMode="External"/><Relationship Id="rId26" Type="http://schemas.openxmlformats.org/officeDocument/2006/relationships/hyperlink" Target="https://en.wikipedia.org/wiki/Daniel_Silva_(novelist)" TargetMode="External"/><Relationship Id="rId47" Type="http://schemas.openxmlformats.org/officeDocument/2006/relationships/hyperlink" Target="https://en.wikipedia.org/wiki/Nora_Roberts" TargetMode="External"/><Relationship Id="rId68" Type="http://schemas.openxmlformats.org/officeDocument/2006/relationships/hyperlink" Target="https://en.wikipedia.org/wiki/Ta-Nehisi_Coates" TargetMode="External"/><Relationship Id="rId89" Type="http://schemas.openxmlformats.org/officeDocument/2006/relationships/hyperlink" Target="https://en.wikipedia.org/wiki/David_Baldacci" TargetMode="External"/><Relationship Id="rId112" Type="http://schemas.openxmlformats.org/officeDocument/2006/relationships/hyperlink" Target="https://en.wikipedia.org/wiki/Brandon_Sanderson" TargetMode="External"/><Relationship Id="rId133" Type="http://schemas.openxmlformats.org/officeDocument/2006/relationships/hyperlink" Target="https://en.wikipedia.org/wiki/John_Sandford_(novelist)" TargetMode="External"/><Relationship Id="rId16" Type="http://schemas.openxmlformats.org/officeDocument/2006/relationships/hyperlink" Target="https://en.wikipedia.org/wiki/Ernest_Cline" TargetMode="External"/></Relationships>
</file>

<file path=xl/worksheets/_rels/sheet1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DD860-A334-40B8-89D9-20DB251B8527}">
  <sheetPr codeName="Sheet12">
    <tabColor theme="9" tint="0.59999389629810485"/>
  </sheetPr>
  <dimension ref="A1"/>
  <sheetViews>
    <sheetView showGridLines="0" workbookViewId="0">
      <selection activeCell="H14" sqref="H14"/>
    </sheetView>
  </sheetViews>
  <sheetFormatPr defaultRowHeight="14.5" x14ac:dyDescent="0.35"/>
  <cols>
    <col min="1" max="16384" width="8.7265625" style="15"/>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0DFA7-F703-40C1-B746-67A07AA6CE01}">
  <sheetPr codeName="Sheet11">
    <tabColor theme="5" tint="0.79998168889431442"/>
  </sheetPr>
  <dimension ref="A1"/>
  <sheetViews>
    <sheetView showGridLines="0" workbookViewId="0">
      <selection activeCell="I17" sqref="I17"/>
    </sheetView>
  </sheetViews>
  <sheetFormatPr defaultRowHeight="14.5" x14ac:dyDescent="0.35"/>
  <cols>
    <col min="1" max="16384" width="8.7265625" style="15"/>
  </cols>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2DBF5-ACBA-4DCF-B8D2-0E995C2E0067}">
  <sheetPr codeName="Sheet3">
    <tabColor theme="8" tint="0.79998168889431442"/>
  </sheetPr>
  <dimension ref="A1:Q32"/>
  <sheetViews>
    <sheetView showGridLines="0" tabSelected="1" workbookViewId="0">
      <selection activeCell="G3" sqref="G3"/>
    </sheetView>
  </sheetViews>
  <sheetFormatPr defaultRowHeight="14.5" x14ac:dyDescent="0.35"/>
  <cols>
    <col min="1" max="1" width="8.7265625" style="15"/>
    <col min="2" max="2" width="13.7265625" style="15" customWidth="1"/>
    <col min="3" max="3" width="2.6328125" style="15" customWidth="1"/>
    <col min="4" max="4" width="22.453125" style="15" bestFit="1" customWidth="1"/>
    <col min="5" max="6" width="1.6328125" style="15" customWidth="1"/>
    <col min="7" max="7" width="18.26953125" style="15" customWidth="1"/>
    <col min="8" max="8" width="2.6328125" style="15" customWidth="1"/>
    <col min="9" max="9" width="18.1796875" style="17" bestFit="1" customWidth="1"/>
    <col min="10" max="10" width="2.6328125" style="17" customWidth="1"/>
    <col min="11" max="11" width="14.26953125" style="17" customWidth="1"/>
    <col min="12" max="12" width="2.6328125" style="17" customWidth="1"/>
    <col min="13" max="13" width="14.26953125" style="17" customWidth="1"/>
    <col min="14" max="14" width="2.6328125" style="17" customWidth="1"/>
    <col min="15" max="15" width="14.26953125" style="17" customWidth="1"/>
    <col min="16" max="16" width="2.6328125" style="16" customWidth="1"/>
    <col min="17" max="17" width="13.36328125" style="20" customWidth="1"/>
    <col min="18" max="16384" width="8.7265625" style="15"/>
  </cols>
  <sheetData>
    <row r="1" spans="1:17" ht="29.5" thickBot="1" x14ac:dyDescent="0.4">
      <c r="G1" s="42" t="s">
        <v>205</v>
      </c>
      <c r="I1" s="56" t="s">
        <v>212</v>
      </c>
      <c r="K1" s="56" t="s">
        <v>258</v>
      </c>
    </row>
    <row r="2" spans="1:17" ht="30.5" customHeight="1" thickBot="1" x14ac:dyDescent="0.4">
      <c r="A2" s="63" t="s">
        <v>264</v>
      </c>
      <c r="B2" s="64"/>
      <c r="C2" s="64"/>
      <c r="D2" s="65"/>
      <c r="F2" s="43">
        <v>1</v>
      </c>
      <c r="G2" s="44" t="str" cm="1">
        <f t="array" ref="G2">IFERROR(_xlfn.UNIQUE(IF($B$4=2018,_xlfn._xlws.FILTER(Table_0__4[Column1],Table_0__4[Author]=Dashboard!$D$4),IF($B$4=2019,_xlfn._xlws.FILTER(Table_0__3[Column1],Table_0__3[Author]=Dashboard!$D$4),IF(Dashboard!$B$4=2020,_xlfn._xlws.FILTER(Table_0__2[Column1],Table_0__2[Author]=Dashboard!$D$4),IF(Dashboard!$B$4=2021,_xlfn._xlws.FILTER(Table_0[Column2],Table_0[Author]=Dashboard!$D$4),""))))),"No Book Listed")</f>
        <v>Where the Crawdads Sing</v>
      </c>
      <c r="I2" s="31" t="str">
        <f>IFERROR(IF($B$4=2018,VLOOKUP($G$2,Table_0__4[[Column1]:[Price]],3,FALSE),IF(Dashboard!$B$4=2019,VLOOKUP(Dashboard!$G$2,Table_0__3[[Column1]:[Price]],3,FALSE),IF(Dashboard!$B$4=2020,VLOOKUP(Dashboard!$G$2,Table_0__2[[Column1]:[Price]],3,FALSE),IF(Dashboard!$B$4=2021,VLOOKUP(Dashboard!$G$2,Table_0[[Column2]:[Price]],3,FALSE),"")))),"No Book Listed")</f>
        <v>Romance Novel</v>
      </c>
      <c r="K2" s="57">
        <f>IFERROR(IF($B$4=2018,VLOOKUP($G2,Table_0__4[[Column1]:[Price]],4,FALSE),IF(Dashboard!$B$4=2019,VLOOKUP(Dashboard!$G2,Table_0__3[[Column1]:[Price]],4,FALSE),IF(Dashboard!$B$4=2020,VLOOKUP(Dashboard!$G2,Table_0__2[[Column1]:[Price]],4,FALSE),IF(Dashboard!$B$4=2021,VLOOKUP(Dashboard!$G2,Table_0[[Column2]:[Price]],4,FALSE),"")))),"No Book Listed")</f>
        <v>18</v>
      </c>
    </row>
    <row r="3" spans="1:17" ht="15" thickBot="1" x14ac:dyDescent="0.4">
      <c r="A3" s="38"/>
      <c r="B3" s="39" t="s">
        <v>203</v>
      </c>
      <c r="C3" s="40"/>
      <c r="D3" s="37" t="s">
        <v>6</v>
      </c>
      <c r="F3" s="45">
        <v>2</v>
      </c>
      <c r="G3" s="46"/>
      <c r="I3" s="21" t="str">
        <f>IFERROR(IF($B$4=2018,VLOOKUP($G3,Table_0__4[[Column1]:[Price]],3,FALSE),IF(Dashboard!$B$4=2019,VLOOKUP(Dashboard!$G3,Table_0__3[[Column1]:[Price]],3,FALSE),IF(Dashboard!$B$4=2020,VLOOKUP(Dashboard!$G3,Table_0__2[[Column1]:[Price]],3,FALSE),IF(Dashboard!$B$4=2021,VLOOKUP(Dashboard!$G3,Table_0[[Column2]:[Price]],3,FALSE),"")))),"")</f>
        <v/>
      </c>
      <c r="J3" s="15"/>
      <c r="K3" s="58" t="str">
        <f>IFERROR(IF($B$4=2018,VLOOKUP($G3,Table_0__4[[Column1]:[Price]],4,FALSE),IF(Dashboard!$B$4=2019,VLOOKUP(Dashboard!$G3,Table_0__3[[Column1]:[Price]],4,FALSE),IF(Dashboard!$B$4=2020,VLOOKUP(Dashboard!$G3,Table_0__2[[Column1]:[Price]],4,FALSE),IF(Dashboard!$B$4=2021,VLOOKUP(Dashboard!$G3,Table_0[[Column2]:[Price]],4,FALSE),"")))),"")</f>
        <v/>
      </c>
      <c r="L3" s="15"/>
      <c r="M3" s="15"/>
      <c r="N3" s="15"/>
      <c r="O3" s="15"/>
      <c r="P3" s="15"/>
      <c r="Q3" s="15"/>
    </row>
    <row r="4" spans="1:17" ht="33.5" customHeight="1" thickBot="1" x14ac:dyDescent="0.4">
      <c r="A4" s="33">
        <v>2</v>
      </c>
      <c r="B4" s="19">
        <v>2019</v>
      </c>
      <c r="C4" s="34"/>
      <c r="D4" s="55" t="s">
        <v>82</v>
      </c>
      <c r="F4" s="47">
        <v>3</v>
      </c>
      <c r="G4" s="48"/>
      <c r="I4" s="32" t="str">
        <f>IFERROR(IF($B$4=2018,VLOOKUP($G4,Table_0__4[[Column1]:[Price]],3,FALSE),IF(Dashboard!$B$4=2019,VLOOKUP(Dashboard!$G4,Table_0__3[[Column1]:[Price]],3,FALSE),IF(Dashboard!$B$4=2020,VLOOKUP(Dashboard!$G4,Table_0__2[[Column1]:[Price]],3,FALSE),IF(Dashboard!$B$4=2021,VLOOKUP(Dashboard!$G4,Table_0[[Column2]:[Price]],3,FALSE),"")))),"")</f>
        <v/>
      </c>
      <c r="J4" s="15"/>
      <c r="K4" s="59" t="str">
        <f>IFERROR(IF($B$4=2018,VLOOKUP($G4,Table_0__4[[Column1]:[Price]],4,FALSE),IF(Dashboard!$B$4=2019,VLOOKUP(Dashboard!$G4,Table_0__3[[Column1]:[Price]],4,FALSE),IF(Dashboard!$B$4=2020,VLOOKUP(Dashboard!$G4,Table_0__2[[Column1]:[Price]],4,FALSE),IF(Dashboard!$B$4=2021,VLOOKUP(Dashboard!$G4,Table_0[[Column2]:[Price]],4,FALSE),"")))),"")</f>
        <v/>
      </c>
      <c r="L4" s="15"/>
      <c r="M4" s="15"/>
      <c r="N4" s="15"/>
      <c r="O4" s="15"/>
      <c r="P4" s="15"/>
      <c r="Q4" s="15"/>
    </row>
    <row r="5" spans="1:17" ht="27" customHeight="1" thickBot="1" x14ac:dyDescent="0.4">
      <c r="A5" s="53" t="s">
        <v>267</v>
      </c>
      <c r="B5" s="54" t="s">
        <v>268</v>
      </c>
      <c r="C5" s="35"/>
      <c r="D5" s="36"/>
      <c r="E5" s="34"/>
      <c r="F5" s="49">
        <v>4</v>
      </c>
      <c r="G5" s="50"/>
      <c r="I5" s="26" t="str">
        <f>IFERROR(IF($B$4=2018,VLOOKUP($G5,Table_0__4[[Column1]:[Price]],3,FALSE),IF(Dashboard!$B$4=2019,VLOOKUP(Dashboard!$G5,Table_0__3[[Column1]:[Price]],3,FALSE),IF(Dashboard!$B$4=2020,VLOOKUP(Dashboard!$G5,Table_0__2[[Column1]:[Price]],3,FALSE),IF(Dashboard!$B$4=2021,VLOOKUP(Dashboard!$G5,Table_0[[Column2]:[Price]],3,FALSE),"")))),"")</f>
        <v/>
      </c>
      <c r="J5" s="15"/>
      <c r="K5" s="60" t="str">
        <f>IFERROR(IF($B$4=2018,VLOOKUP($G5,Table_0__4[[Column1]:[Price]],4,FALSE),IF(Dashboard!$B$4=2019,VLOOKUP(Dashboard!$G5,Table_0__3[[Column1]:[Price]],4,FALSE),IF(Dashboard!$B$4=2020,VLOOKUP(Dashboard!$G5,Table_0__2[[Column1]:[Price]],4,FALSE),IF(Dashboard!$B$4=2021,VLOOKUP(Dashboard!$G5,Table_0[[Column2]:[Price]],4,FALSE),"")))),"")</f>
        <v/>
      </c>
      <c r="L5" s="15"/>
      <c r="M5" s="18"/>
      <c r="N5" s="15"/>
      <c r="O5" s="18"/>
    </row>
    <row r="6" spans="1:17" ht="15" thickBot="1" x14ac:dyDescent="0.4">
      <c r="J6" s="15"/>
      <c r="L6" s="15"/>
      <c r="M6" s="18"/>
      <c r="N6" s="15"/>
      <c r="O6" s="18"/>
    </row>
    <row r="7" spans="1:17" ht="29.5" thickBot="1" x14ac:dyDescent="0.4">
      <c r="B7" s="41" t="s">
        <v>263</v>
      </c>
      <c r="D7" s="41" t="s">
        <v>211</v>
      </c>
      <c r="E7" s="51"/>
      <c r="G7" s="41" t="s">
        <v>260</v>
      </c>
      <c r="I7" s="41" t="s">
        <v>211</v>
      </c>
      <c r="J7" s="15"/>
      <c r="K7" s="41" t="s">
        <v>261</v>
      </c>
      <c r="L7" s="15"/>
      <c r="M7" s="41" t="s">
        <v>211</v>
      </c>
      <c r="N7" s="15"/>
      <c r="O7" s="41" t="s">
        <v>262</v>
      </c>
      <c r="Q7" s="41" t="s">
        <v>211</v>
      </c>
    </row>
    <row r="8" spans="1:17" ht="15" thickBot="1" x14ac:dyDescent="0.4">
      <c r="B8" s="27" cm="1">
        <f t="array" ref="B8:B32">IFERROR(IF($B$4=2018,_xlfn._xlws.FILTER(Table_0__4[Column2],Table_0__4[Column1]=Dashboard!$G$2),IF($B$4=2019,_xlfn._xlws.FILTER(Table_0__3[Column2],Table_0__3[Column1]=Dashboard!$G$2),IF($B$4=2020,_xlfn._xlws.FILTER(Table_0__2[Column2],Table_0__2[Column1]=Dashboard!$G$2),IF($B$4=2021,_xlfn._xlws.FILTER(Table_0[Column1],Table_0[Column2]=Dashboard!$G$2))))),"No Book Listed")</f>
        <v>44230</v>
      </c>
      <c r="D8" s="28">
        <f>IF(COUNT(B8:B32)=0,"No Book Listed",COUNT(B8:B32))</f>
        <v>25</v>
      </c>
      <c r="E8" s="52"/>
      <c r="G8" s="27" t="str" cm="1">
        <f t="array" ref="G8">IFERROR(IF($B$4=2018,_xlfn._xlws.FILTER(Table_0__4[Column2],Table_0__4[Column1]=$G$3),IF($B$4=2019,_xlfn._xlws.FILTER(Table_0__3[Column2],Table_0__3[Column1]=$G$3),IF($B$4=2020,_xlfn._xlws.FILTER(Table_0__2[Column2],Table_0__2[Column1]=$G$3),IF($B$4=2021,_xlfn._xlws.FILTER(Table_0[Column1],Table_0[Column2]=$G$3))))),"No Book Listed")</f>
        <v>No Book Listed</v>
      </c>
      <c r="I8" s="28" t="str">
        <f>IF(COUNT(G8:G32)=0,"No Book Listed",COUNT(G8:G32))</f>
        <v>No Book Listed</v>
      </c>
      <c r="J8" s="15"/>
      <c r="K8" s="27" t="str" cm="1">
        <f t="array" ref="K8">IFERROR(IF($B$4=2018,_xlfn._xlws.FILTER(Table_0__4[Column2],Table_0__4[Column1]=$G$4),IF($B$4=2019,_xlfn._xlws.FILTER(Table_0__3[Column2],Table_0__3[Column1]=$G$4),IF($B$4=2020,_xlfn._xlws.FILTER(Table_0__2[Column2],Table_0__2[Column1]=$G$4),IF($B$4=2021,_xlfn._xlws.FILTER(Table_0[Column1],Table_0[Column2]=$G$4))))),"No Book Listed")</f>
        <v>No Book Listed</v>
      </c>
      <c r="L8" s="15"/>
      <c r="M8" s="28" t="str">
        <f>IF(COUNT(K8:K32)=0,"No Book Listed",COUNT(K8:K32))</f>
        <v>No Book Listed</v>
      </c>
      <c r="N8" s="15"/>
      <c r="O8" s="27" t="str" cm="1">
        <f t="array" ref="O8">IFERROR(IF($B$4=2018,_xlfn._xlws.FILTER(Table_0__4[Column2],Table_0__4[Column1]=$G$5),IF($B$4=2019,_xlfn._xlws.FILTER(Table_0__3[Column2],Table_0__3[Column1]=$G$5),IF($B$4=2020,_xlfn._xlws.FILTER(Table_0__2[Column2],Table_0__2[Column1]=$G$5),IF($B$4=2021,_xlfn._xlws.FILTER(Table_0[Column1],Table_0[Column2]=$G$5))))),"No Book Listed")</f>
        <v>No Book Listed</v>
      </c>
      <c r="P8" s="24"/>
      <c r="Q8" s="28" t="str">
        <f>IF(COUNT(O8:O32)=0,"No Book Listed",COUNT(O8:O32))</f>
        <v>No Book Listed</v>
      </c>
    </row>
    <row r="9" spans="1:17" x14ac:dyDescent="0.35">
      <c r="B9" s="22">
        <v>44237</v>
      </c>
      <c r="G9" s="22"/>
      <c r="J9" s="15"/>
      <c r="K9" s="22"/>
      <c r="L9" s="15"/>
      <c r="M9" s="18"/>
      <c r="N9" s="15"/>
      <c r="O9" s="22"/>
      <c r="P9" s="24"/>
    </row>
    <row r="10" spans="1:17" x14ac:dyDescent="0.35">
      <c r="B10" s="29">
        <v>44244</v>
      </c>
      <c r="G10" s="29"/>
      <c r="J10" s="15"/>
      <c r="K10" s="29"/>
      <c r="L10" s="15"/>
      <c r="M10" s="18"/>
      <c r="N10" s="15"/>
      <c r="O10" s="29"/>
      <c r="P10" s="24"/>
    </row>
    <row r="11" spans="1:17" x14ac:dyDescent="0.35">
      <c r="B11" s="22">
        <v>44258</v>
      </c>
      <c r="G11" s="22"/>
      <c r="J11" s="15"/>
      <c r="K11" s="22"/>
      <c r="L11" s="15"/>
      <c r="M11" s="18"/>
      <c r="N11" s="15"/>
      <c r="O11" s="22"/>
    </row>
    <row r="12" spans="1:17" x14ac:dyDescent="0.35">
      <c r="B12" s="29">
        <v>44265</v>
      </c>
      <c r="G12" s="29"/>
      <c r="J12" s="15"/>
      <c r="K12" s="29"/>
      <c r="L12" s="15"/>
      <c r="M12" s="18"/>
      <c r="N12" s="15"/>
      <c r="O12" s="29"/>
    </row>
    <row r="13" spans="1:17" x14ac:dyDescent="0.35">
      <c r="B13" s="22">
        <v>44272</v>
      </c>
      <c r="G13" s="22"/>
      <c r="J13" s="15"/>
      <c r="K13" s="22"/>
      <c r="L13" s="15"/>
      <c r="M13" s="18"/>
      <c r="N13" s="15"/>
      <c r="O13" s="22"/>
    </row>
    <row r="14" spans="1:17" x14ac:dyDescent="0.35">
      <c r="B14" s="29">
        <v>44279</v>
      </c>
      <c r="G14" s="29"/>
      <c r="J14" s="15"/>
      <c r="K14" s="29"/>
      <c r="L14" s="15"/>
      <c r="M14" s="18"/>
      <c r="N14" s="15"/>
      <c r="O14" s="29"/>
    </row>
    <row r="15" spans="1:17" x14ac:dyDescent="0.35">
      <c r="B15" s="22">
        <v>44286</v>
      </c>
      <c r="G15" s="22"/>
      <c r="J15" s="15"/>
      <c r="K15" s="22"/>
      <c r="L15" s="15"/>
      <c r="M15" s="18"/>
      <c r="N15" s="15"/>
      <c r="O15" s="22"/>
    </row>
    <row r="16" spans="1:17" x14ac:dyDescent="0.35">
      <c r="B16" s="29">
        <v>44293</v>
      </c>
      <c r="G16" s="29"/>
      <c r="J16" s="15"/>
      <c r="K16" s="29"/>
      <c r="L16" s="15"/>
      <c r="M16" s="18"/>
      <c r="N16" s="15"/>
      <c r="O16" s="29"/>
    </row>
    <row r="17" spans="2:15" x14ac:dyDescent="0.35">
      <c r="B17" s="22">
        <v>44300</v>
      </c>
      <c r="G17" s="22"/>
      <c r="J17" s="15"/>
      <c r="K17" s="22"/>
      <c r="L17" s="15"/>
      <c r="M17" s="18"/>
      <c r="N17" s="15"/>
      <c r="O17" s="22"/>
    </row>
    <row r="18" spans="2:15" x14ac:dyDescent="0.35">
      <c r="B18" s="29">
        <v>44307</v>
      </c>
      <c r="G18" s="29"/>
      <c r="J18" s="15"/>
      <c r="K18" s="29"/>
      <c r="L18" s="15"/>
      <c r="M18" s="18"/>
      <c r="N18" s="15"/>
      <c r="O18" s="29"/>
    </row>
    <row r="19" spans="2:15" x14ac:dyDescent="0.35">
      <c r="B19" s="22">
        <v>44314</v>
      </c>
      <c r="G19" s="22"/>
      <c r="J19" s="15"/>
      <c r="K19" s="22"/>
      <c r="L19" s="15"/>
      <c r="M19" s="18"/>
      <c r="N19" s="15"/>
      <c r="O19" s="22"/>
    </row>
    <row r="20" spans="2:15" x14ac:dyDescent="0.35">
      <c r="B20" s="29">
        <v>44342</v>
      </c>
      <c r="G20" s="29"/>
      <c r="J20" s="15"/>
      <c r="K20" s="29"/>
      <c r="L20" s="15"/>
      <c r="M20" s="18"/>
      <c r="N20" s="15"/>
      <c r="O20" s="29"/>
    </row>
    <row r="21" spans="2:15" x14ac:dyDescent="0.35">
      <c r="B21" s="22">
        <v>44349</v>
      </c>
      <c r="G21" s="22"/>
      <c r="J21" s="15"/>
      <c r="K21" s="22"/>
      <c r="L21" s="15"/>
      <c r="M21" s="18"/>
      <c r="N21" s="15"/>
      <c r="O21" s="22"/>
    </row>
    <row r="22" spans="2:15" x14ac:dyDescent="0.35">
      <c r="B22" s="29">
        <v>44356</v>
      </c>
      <c r="G22" s="29"/>
      <c r="J22" s="15"/>
      <c r="K22" s="29"/>
      <c r="L22" s="15"/>
      <c r="M22" s="18"/>
      <c r="N22" s="15"/>
      <c r="O22" s="29"/>
    </row>
    <row r="23" spans="2:15" x14ac:dyDescent="0.35">
      <c r="B23" s="22">
        <v>44363</v>
      </c>
      <c r="G23" s="22"/>
      <c r="J23" s="15"/>
      <c r="K23" s="22"/>
      <c r="L23" s="15"/>
      <c r="M23" s="18"/>
      <c r="N23" s="15"/>
      <c r="O23" s="22"/>
    </row>
    <row r="24" spans="2:15" x14ac:dyDescent="0.35">
      <c r="B24" s="29">
        <v>44370</v>
      </c>
      <c r="G24" s="29"/>
      <c r="J24" s="15"/>
      <c r="K24" s="29"/>
      <c r="L24" s="15"/>
      <c r="M24" s="18"/>
      <c r="N24" s="15"/>
      <c r="O24" s="29"/>
    </row>
    <row r="25" spans="2:15" x14ac:dyDescent="0.35">
      <c r="B25" s="22">
        <v>44377</v>
      </c>
      <c r="G25" s="22"/>
      <c r="J25" s="15"/>
      <c r="K25" s="22"/>
      <c r="L25" s="15"/>
      <c r="M25" s="18"/>
      <c r="N25" s="15"/>
      <c r="O25" s="22"/>
    </row>
    <row r="26" spans="2:15" x14ac:dyDescent="0.35">
      <c r="B26" s="29">
        <v>44391</v>
      </c>
      <c r="G26" s="29"/>
      <c r="J26" s="15"/>
      <c r="K26" s="29"/>
      <c r="L26" s="15"/>
      <c r="M26" s="18"/>
      <c r="N26" s="15"/>
      <c r="O26" s="29"/>
    </row>
    <row r="27" spans="2:15" x14ac:dyDescent="0.35">
      <c r="B27" s="22">
        <v>44398</v>
      </c>
      <c r="G27" s="22"/>
      <c r="J27" s="15"/>
      <c r="K27" s="22"/>
      <c r="L27" s="15"/>
      <c r="M27" s="18"/>
      <c r="N27" s="15"/>
      <c r="O27" s="22"/>
    </row>
    <row r="28" spans="2:15" x14ac:dyDescent="0.35">
      <c r="B28" s="29">
        <v>44426</v>
      </c>
      <c r="G28" s="29"/>
      <c r="J28" s="15"/>
      <c r="K28" s="29"/>
      <c r="L28" s="15"/>
      <c r="M28" s="18"/>
      <c r="N28" s="15"/>
      <c r="O28" s="29"/>
    </row>
    <row r="29" spans="2:15" x14ac:dyDescent="0.35">
      <c r="B29" s="22">
        <v>44433</v>
      </c>
      <c r="G29" s="22"/>
      <c r="K29" s="22"/>
      <c r="O29" s="22"/>
    </row>
    <row r="30" spans="2:15" x14ac:dyDescent="0.35">
      <c r="B30" s="29">
        <v>44440</v>
      </c>
      <c r="G30" s="29"/>
      <c r="K30" s="29"/>
      <c r="O30" s="29"/>
    </row>
    <row r="31" spans="2:15" x14ac:dyDescent="0.35">
      <c r="B31" s="22">
        <v>44447</v>
      </c>
      <c r="G31" s="22"/>
      <c r="K31" s="22"/>
      <c r="O31" s="22"/>
    </row>
    <row r="32" spans="2:15" ht="15" thickBot="1" x14ac:dyDescent="0.4">
      <c r="B32" s="30">
        <v>44559</v>
      </c>
      <c r="G32" s="30"/>
      <c r="K32" s="30"/>
      <c r="O32" s="30"/>
    </row>
  </sheetData>
  <mergeCells count="1">
    <mergeCell ref="A2:D2"/>
  </mergeCells>
  <dataValidations count="3">
    <dataValidation type="list" allowBlank="1" showInputMessage="1" showErrorMessage="1" sqref="B4" xr:uid="{F2EA61AB-4269-4C47-9F1B-CF5527CE2ED4}">
      <formula1>year</formula1>
    </dataValidation>
    <dataValidation type="list" allowBlank="1" showInputMessage="1" showErrorMessage="1" sqref="C9" xr:uid="{27D8B271-09FC-4378-9064-6ABFD5A9772E}">
      <formula1>authors2020</formula1>
    </dataValidation>
    <dataValidation type="list" allowBlank="1" showInputMessage="1" showErrorMessage="1" sqref="D4" xr:uid="{DA939944-8890-468E-9A9E-751BF102F59F}">
      <formula1>authors2019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6" r:id="rId4" name="Drop Down 8">
              <controlPr defaultSize="0" autoLine="0" autoPict="0" macro="[0]!Macro_Dope">
                <anchor moveWithCells="1">
                  <from>
                    <xdr:col>0</xdr:col>
                    <xdr:colOff>292100</xdr:colOff>
                    <xdr:row>2</xdr:row>
                    <xdr:rowOff>184150</xdr:rowOff>
                  </from>
                  <to>
                    <xdr:col>2</xdr:col>
                    <xdr:colOff>177800</xdr:colOff>
                    <xdr:row>4</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51407-B1F1-4581-8DBB-FA1C9BDAE82C}">
  <sheetPr codeName="Sheet13">
    <tabColor theme="7" tint="0.59999389629810485"/>
  </sheetPr>
  <dimension ref="A1"/>
  <sheetViews>
    <sheetView showGridLines="0" workbookViewId="0">
      <selection activeCell="G7" sqref="G7"/>
    </sheetView>
  </sheetViews>
  <sheetFormatPr defaultRowHeight="14.5" x14ac:dyDescent="0.35"/>
  <cols>
    <col min="1" max="16384" width="8.7265625" style="6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301AA-7C1C-429B-81A7-8786D4B57980}">
  <sheetPr codeName="Sheet4"/>
  <dimension ref="A1:K53"/>
  <sheetViews>
    <sheetView topLeftCell="A19" workbookViewId="0">
      <selection activeCell="C24" sqref="C24"/>
    </sheetView>
  </sheetViews>
  <sheetFormatPr defaultRowHeight="14.5" x14ac:dyDescent="0.35"/>
  <cols>
    <col min="1" max="1" width="10.453125" bestFit="1" customWidth="1"/>
    <col min="2" max="2" width="23.90625" bestFit="1" customWidth="1"/>
    <col min="3" max="3" width="31" bestFit="1" customWidth="1"/>
    <col min="4" max="4" width="31" customWidth="1"/>
    <col min="5" max="5" width="10.54296875" bestFit="1" customWidth="1"/>
    <col min="6" max="6" width="21.26953125" bestFit="1" customWidth="1"/>
    <col min="7" max="7" width="10.54296875" customWidth="1"/>
    <col min="9" max="9" width="31" bestFit="1" customWidth="1"/>
    <col min="11" max="11" width="21.26953125" bestFit="1" customWidth="1"/>
  </cols>
  <sheetData>
    <row r="1" spans="1:11" x14ac:dyDescent="0.35">
      <c r="A1" t="s">
        <v>4</v>
      </c>
      <c r="B1" t="s">
        <v>5</v>
      </c>
      <c r="C1" t="s">
        <v>6</v>
      </c>
      <c r="D1" t="s">
        <v>208</v>
      </c>
      <c r="E1" t="s">
        <v>209</v>
      </c>
      <c r="F1" t="s">
        <v>212</v>
      </c>
      <c r="G1" t="s">
        <v>213</v>
      </c>
    </row>
    <row r="2" spans="1:11" x14ac:dyDescent="0.35">
      <c r="A2" s="8">
        <v>43107</v>
      </c>
      <c r="B2" s="9" t="s">
        <v>7</v>
      </c>
      <c r="C2" s="9" t="s">
        <v>8</v>
      </c>
      <c r="D2" s="9" t="str">
        <f>Table_0__4[[#This Row],[Book]]</f>
        <v>Origin</v>
      </c>
      <c r="E2" s="8">
        <f>Table_0__4[[#This Row],[Date]]</f>
        <v>43107</v>
      </c>
      <c r="F2" s="9" t="s">
        <v>227</v>
      </c>
      <c r="G2" s="14">
        <v>8.35</v>
      </c>
      <c r="I2" s="10" t="s">
        <v>8</v>
      </c>
      <c r="K2" t="str" cm="1">
        <f t="array" ref="K2:K24">_xlfn.UNIQUE(Table_0__4[Genre])</f>
        <v>Crime Mystery Novel</v>
      </c>
    </row>
    <row r="3" spans="1:11" x14ac:dyDescent="0.35">
      <c r="A3" s="8">
        <v>43114</v>
      </c>
      <c r="B3" s="9" t="s">
        <v>9</v>
      </c>
      <c r="C3" s="9" t="s">
        <v>10</v>
      </c>
      <c r="D3" s="9" t="str">
        <f>Table_0__4[[#This Row],[Book]]</f>
        <v>The People vs. Alex Cross</v>
      </c>
      <c r="E3" s="8">
        <f>Table_0__4[[#This Row],[Date]]</f>
        <v>43114</v>
      </c>
      <c r="F3" s="9" t="s">
        <v>214</v>
      </c>
      <c r="G3" s="14">
        <v>9.99</v>
      </c>
      <c r="I3" s="11" t="s">
        <v>10</v>
      </c>
      <c r="K3" t="str">
        <v>Thriller Fiction</v>
      </c>
    </row>
    <row r="4" spans="1:11" x14ac:dyDescent="0.35">
      <c r="A4" s="8">
        <v>43121</v>
      </c>
      <c r="B4" s="9" t="s">
        <v>11</v>
      </c>
      <c r="C4" s="9" t="s">
        <v>12</v>
      </c>
      <c r="D4" s="9" t="str">
        <f>Table_0__4[[#This Row],[Book]]</f>
        <v>The Woman in the Window</v>
      </c>
      <c r="E4" s="8">
        <f>Table_0__4[[#This Row],[Date]]</f>
        <v>43121</v>
      </c>
      <c r="F4" s="9" t="s">
        <v>215</v>
      </c>
      <c r="G4" s="14">
        <v>6.25</v>
      </c>
      <c r="I4" s="10" t="s">
        <v>12</v>
      </c>
      <c r="K4" t="str">
        <v>Thriller Fiction Novel</v>
      </c>
    </row>
    <row r="5" spans="1:11" x14ac:dyDescent="0.35">
      <c r="A5" s="8">
        <v>43128</v>
      </c>
      <c r="B5" s="9" t="s">
        <v>11</v>
      </c>
      <c r="C5" s="9" t="s">
        <v>12</v>
      </c>
      <c r="D5" s="9" t="str">
        <f>Table_0__4[[#This Row],[Book]]</f>
        <v>The Woman in the Window</v>
      </c>
      <c r="E5" s="8">
        <f>Table_0__4[[#This Row],[Date]]</f>
        <v>43128</v>
      </c>
      <c r="F5" s="9" t="s">
        <v>215</v>
      </c>
      <c r="G5" s="14">
        <v>6.25</v>
      </c>
      <c r="I5" s="10" t="s">
        <v>199</v>
      </c>
      <c r="K5" t="str">
        <v>Mystery Thriller Fiction</v>
      </c>
    </row>
    <row r="6" spans="1:11" x14ac:dyDescent="0.35">
      <c r="A6" s="8">
        <v>43135</v>
      </c>
      <c r="B6" s="9" t="s">
        <v>13</v>
      </c>
      <c r="C6" s="9" t="s">
        <v>199</v>
      </c>
      <c r="D6" s="9" t="str">
        <f>Table_0__4[[#This Row],[Book]]</f>
        <v>City of Endless Night</v>
      </c>
      <c r="E6" s="8">
        <f>Table_0__4[[#This Row],[Date]]</f>
        <v>43135</v>
      </c>
      <c r="F6" s="9" t="s">
        <v>216</v>
      </c>
      <c r="G6" s="14">
        <v>9.99</v>
      </c>
      <c r="I6" s="11" t="s">
        <v>16</v>
      </c>
      <c r="K6" t="str">
        <v>Romance Novel</v>
      </c>
    </row>
    <row r="7" spans="1:11" x14ac:dyDescent="0.35">
      <c r="A7" s="8">
        <v>43142</v>
      </c>
      <c r="B7" s="9" t="s">
        <v>15</v>
      </c>
      <c r="C7" s="9" t="s">
        <v>16</v>
      </c>
      <c r="D7" s="9" t="str">
        <f>Table_0__4[[#This Row],[Book]]</f>
        <v>Judgment Road</v>
      </c>
      <c r="E7" s="8">
        <f>Table_0__4[[#This Row],[Date]]</f>
        <v>43142</v>
      </c>
      <c r="F7" s="9" t="s">
        <v>217</v>
      </c>
      <c r="G7" s="14">
        <v>7.99</v>
      </c>
      <c r="I7" s="10" t="s">
        <v>18</v>
      </c>
      <c r="K7" t="str">
        <v>Mystery Suspense Novel</v>
      </c>
    </row>
    <row r="8" spans="1:11" x14ac:dyDescent="0.35">
      <c r="A8" s="8">
        <v>43149</v>
      </c>
      <c r="B8" s="9" t="s">
        <v>17</v>
      </c>
      <c r="C8" s="9" t="s">
        <v>18</v>
      </c>
      <c r="D8" s="9" t="str">
        <f>Table_0__4[[#This Row],[Book]]</f>
        <v>Dark in Death</v>
      </c>
      <c r="E8" s="8">
        <f>Table_0__4[[#This Row],[Date]]</f>
        <v>43149</v>
      </c>
      <c r="F8" s="9" t="s">
        <v>218</v>
      </c>
      <c r="G8" s="14">
        <v>5.87</v>
      </c>
      <c r="I8" s="11" t="s">
        <v>20</v>
      </c>
      <c r="K8" t="str">
        <v>Domestic Fiction Novel</v>
      </c>
    </row>
    <row r="9" spans="1:11" x14ac:dyDescent="0.35">
      <c r="A9" s="8">
        <v>43156</v>
      </c>
      <c r="B9" s="9" t="s">
        <v>19</v>
      </c>
      <c r="C9" s="9" t="s">
        <v>20</v>
      </c>
      <c r="D9" s="9" t="str">
        <f>Table_0__4[[#This Row],[Book]]</f>
        <v>The Great Alone</v>
      </c>
      <c r="E9" s="8">
        <f>Table_0__4[[#This Row],[Date]]</f>
        <v>43156</v>
      </c>
      <c r="F9" s="9" t="s">
        <v>219</v>
      </c>
      <c r="G9" s="14">
        <v>11.74</v>
      </c>
      <c r="I9" s="11" t="s">
        <v>22</v>
      </c>
      <c r="K9" t="str">
        <v>Supernatural Fiction</v>
      </c>
    </row>
    <row r="10" spans="1:11" x14ac:dyDescent="0.35">
      <c r="A10" s="8">
        <v>43163</v>
      </c>
      <c r="B10" s="9" t="s">
        <v>19</v>
      </c>
      <c r="C10" s="9" t="s">
        <v>20</v>
      </c>
      <c r="D10" s="9" t="str">
        <f>Table_0__4[[#This Row],[Book]]</f>
        <v>The Great Alone</v>
      </c>
      <c r="E10" s="8">
        <f>Table_0__4[[#This Row],[Date]]</f>
        <v>43163</v>
      </c>
      <c r="F10" s="9" t="s">
        <v>219</v>
      </c>
      <c r="G10" s="14">
        <v>11.74</v>
      </c>
      <c r="I10" s="10" t="s">
        <v>200</v>
      </c>
      <c r="K10" t="str">
        <v>Thriller</v>
      </c>
    </row>
    <row r="11" spans="1:11" x14ac:dyDescent="0.35">
      <c r="A11" s="8">
        <v>43170</v>
      </c>
      <c r="B11" s="9" t="s">
        <v>19</v>
      </c>
      <c r="C11" s="9" t="s">
        <v>20</v>
      </c>
      <c r="D11" s="9" t="str">
        <f>Table_0__4[[#This Row],[Book]]</f>
        <v>The Great Alone</v>
      </c>
      <c r="E11" s="8">
        <f>Table_0__4[[#This Row],[Date]]</f>
        <v>43170</v>
      </c>
      <c r="F11" s="9" t="s">
        <v>219</v>
      </c>
      <c r="G11" s="14">
        <v>11.74</v>
      </c>
      <c r="I11" s="11" t="s">
        <v>26</v>
      </c>
      <c r="K11" t="str">
        <v>Science Fiction</v>
      </c>
    </row>
    <row r="12" spans="1:11" x14ac:dyDescent="0.35">
      <c r="A12" s="8">
        <v>43177</v>
      </c>
      <c r="B12" s="9" t="s">
        <v>19</v>
      </c>
      <c r="C12" s="9" t="s">
        <v>20</v>
      </c>
      <c r="D12" s="9" t="str">
        <f>Table_0__4[[#This Row],[Book]]</f>
        <v>The Great Alone</v>
      </c>
      <c r="E12" s="8">
        <f>Table_0__4[[#This Row],[Date]]</f>
        <v>43177</v>
      </c>
      <c r="F12" s="9" t="s">
        <v>219</v>
      </c>
      <c r="G12" s="14">
        <v>11.74</v>
      </c>
      <c r="I12" s="10" t="s">
        <v>28</v>
      </c>
      <c r="K12" t="str">
        <v>Thriller Crime Fiction</v>
      </c>
    </row>
    <row r="13" spans="1:11" x14ac:dyDescent="0.35">
      <c r="A13" s="8">
        <v>43184</v>
      </c>
      <c r="B13" s="9" t="s">
        <v>21</v>
      </c>
      <c r="C13" s="9" t="s">
        <v>22</v>
      </c>
      <c r="D13" s="9" t="str">
        <f>Table_0__4[[#This Row],[Book]]</f>
        <v>Burn Bright</v>
      </c>
      <c r="E13" s="8">
        <f>Table_0__4[[#This Row],[Date]]</f>
        <v>43184</v>
      </c>
      <c r="F13" s="9" t="s">
        <v>220</v>
      </c>
      <c r="G13" s="14">
        <v>8.99</v>
      </c>
      <c r="I13" s="11" t="s">
        <v>30</v>
      </c>
      <c r="K13" t="str">
        <v>Thriller Mystery Fiction</v>
      </c>
    </row>
    <row r="14" spans="1:11" x14ac:dyDescent="0.35">
      <c r="A14" s="8">
        <v>43191</v>
      </c>
      <c r="B14" s="9" t="s">
        <v>23</v>
      </c>
      <c r="C14" s="9" t="s">
        <v>200</v>
      </c>
      <c r="D14" s="9" t="str">
        <f>Table_0__4[[#This Row],[Book]]</f>
        <v>The Rising Sea</v>
      </c>
      <c r="E14" s="8">
        <f>Table_0__4[[#This Row],[Date]]</f>
        <v>43191</v>
      </c>
      <c r="F14" s="9" t="s">
        <v>221</v>
      </c>
      <c r="G14" s="14">
        <v>9.99</v>
      </c>
      <c r="I14" s="10" t="s">
        <v>32</v>
      </c>
      <c r="K14" t="str">
        <v>Thriller Novel Fiction</v>
      </c>
    </row>
    <row r="15" spans="1:11" x14ac:dyDescent="0.35">
      <c r="A15" s="8">
        <v>43198</v>
      </c>
      <c r="B15" s="9" t="s">
        <v>25</v>
      </c>
      <c r="C15" s="9" t="s">
        <v>26</v>
      </c>
      <c r="D15" s="9" t="str">
        <f>Table_0__4[[#This Row],[Book]]</f>
        <v>Accidental Heroes</v>
      </c>
      <c r="E15" s="8">
        <f>Table_0__4[[#This Row],[Date]]</f>
        <v>43198</v>
      </c>
      <c r="F15" s="9" t="s">
        <v>215</v>
      </c>
      <c r="G15" s="14">
        <v>8.99</v>
      </c>
      <c r="I15" s="11" t="s">
        <v>34</v>
      </c>
      <c r="K15" t="str">
        <v>Thriller Mystery Novel</v>
      </c>
    </row>
    <row r="16" spans="1:11" x14ac:dyDescent="0.35">
      <c r="A16" s="8">
        <v>43205</v>
      </c>
      <c r="B16" s="9" t="s">
        <v>27</v>
      </c>
      <c r="C16" s="9" t="s">
        <v>28</v>
      </c>
      <c r="D16" s="9" t="str">
        <f>Table_0__4[[#This Row],[Book]]</f>
        <v>The Disappeared</v>
      </c>
      <c r="E16" s="8">
        <f>Table_0__4[[#This Row],[Date]]</f>
        <v>43205</v>
      </c>
      <c r="F16" s="9" t="s">
        <v>215</v>
      </c>
      <c r="G16" s="14">
        <v>8.99</v>
      </c>
      <c r="I16" s="10" t="s">
        <v>36</v>
      </c>
      <c r="K16" t="str">
        <v>Spy Thriller Fiction</v>
      </c>
    </row>
    <row r="17" spans="1:11" x14ac:dyDescent="0.35">
      <c r="A17" s="8">
        <v>43212</v>
      </c>
      <c r="B17" s="9" t="s">
        <v>29</v>
      </c>
      <c r="C17" s="9" t="s">
        <v>30</v>
      </c>
      <c r="D17" s="9" t="str">
        <f>Table_0__4[[#This Row],[Book]]</f>
        <v>Ready Player One</v>
      </c>
      <c r="E17" s="8">
        <f>Table_0__4[[#This Row],[Date]]</f>
        <v>43212</v>
      </c>
      <c r="F17" s="9" t="s">
        <v>222</v>
      </c>
      <c r="G17" s="14">
        <v>9.9499999999999993</v>
      </c>
      <c r="I17" s="11" t="s">
        <v>101</v>
      </c>
      <c r="K17" t="str">
        <v>Thriller Romance Novel</v>
      </c>
    </row>
    <row r="18" spans="1:11" x14ac:dyDescent="0.35">
      <c r="A18" s="8">
        <v>43219</v>
      </c>
      <c r="B18" s="9" t="s">
        <v>31</v>
      </c>
      <c r="C18" s="9" t="s">
        <v>32</v>
      </c>
      <c r="D18" s="9" t="str">
        <f>Table_0__4[[#This Row],[Book]]</f>
        <v>The Thief</v>
      </c>
      <c r="E18" s="8">
        <f>Table_0__4[[#This Row],[Date]]</f>
        <v>43219</v>
      </c>
      <c r="F18" s="9" t="s">
        <v>217</v>
      </c>
      <c r="G18" s="14">
        <v>8.99</v>
      </c>
      <c r="I18" s="10" t="s">
        <v>41</v>
      </c>
      <c r="K18" t="str">
        <v>Romance Comedy Novel</v>
      </c>
    </row>
    <row r="19" spans="1:11" x14ac:dyDescent="0.35">
      <c r="A19" s="8">
        <v>43226</v>
      </c>
      <c r="B19" s="9" t="s">
        <v>33</v>
      </c>
      <c r="C19" s="9" t="s">
        <v>34</v>
      </c>
      <c r="D19" s="9" t="str">
        <f>Table_0__4[[#This Row],[Book]]</f>
        <v>The Fallen</v>
      </c>
      <c r="E19" s="8">
        <f>Table_0__4[[#This Row],[Date]]</f>
        <v>43226</v>
      </c>
      <c r="F19" s="9" t="s">
        <v>223</v>
      </c>
      <c r="G19" s="14">
        <v>9.99</v>
      </c>
      <c r="I19" s="11" t="s">
        <v>43</v>
      </c>
      <c r="K19" t="str">
        <v>Mystery Crime Novel</v>
      </c>
    </row>
    <row r="20" spans="1:11" x14ac:dyDescent="0.35">
      <c r="A20" s="8">
        <v>43233</v>
      </c>
      <c r="B20" s="9" t="s">
        <v>35</v>
      </c>
      <c r="C20" s="9" t="s">
        <v>36</v>
      </c>
      <c r="D20" s="9" t="str">
        <f>Table_0__4[[#This Row],[Book]]</f>
        <v>Twisted Prey</v>
      </c>
      <c r="E20" s="8">
        <f>Table_0__4[[#This Row],[Date]]</f>
        <v>43233</v>
      </c>
      <c r="F20" s="9" t="s">
        <v>224</v>
      </c>
      <c r="G20" s="14">
        <v>8.99</v>
      </c>
      <c r="I20" s="10" t="s">
        <v>201</v>
      </c>
      <c r="K20" t="str">
        <v xml:space="preserve">Thriller Novel </v>
      </c>
    </row>
    <row r="21" spans="1:11" x14ac:dyDescent="0.35">
      <c r="A21" s="8">
        <v>43240</v>
      </c>
      <c r="B21" s="9" t="s">
        <v>37</v>
      </c>
      <c r="C21" s="9" t="s">
        <v>101</v>
      </c>
      <c r="D21" s="9" t="str">
        <f>Table_0__4[[#This Row],[Book]]</f>
        <v>The 17th Suspect</v>
      </c>
      <c r="E21" s="8">
        <f>Table_0__4[[#This Row],[Date]]</f>
        <v>43240</v>
      </c>
      <c r="F21" s="9" t="s">
        <v>224</v>
      </c>
      <c r="G21" s="14">
        <v>9.51</v>
      </c>
      <c r="I21" s="10" t="s">
        <v>47</v>
      </c>
      <c r="K21" t="str">
        <v>Thriller Novel</v>
      </c>
    </row>
    <row r="22" spans="1:11" x14ac:dyDescent="0.35">
      <c r="A22" s="8">
        <v>43247</v>
      </c>
      <c r="B22" s="9" t="s">
        <v>37</v>
      </c>
      <c r="C22" s="9" t="s">
        <v>101</v>
      </c>
      <c r="D22" s="9" t="str">
        <f>Table_0__4[[#This Row],[Book]]</f>
        <v>The 17th Suspect</v>
      </c>
      <c r="E22" s="8">
        <f>Table_0__4[[#This Row],[Date]]</f>
        <v>43247</v>
      </c>
      <c r="F22" s="9" t="s">
        <v>224</v>
      </c>
      <c r="G22" s="14">
        <v>9.51</v>
      </c>
      <c r="I22" s="11" t="s">
        <v>49</v>
      </c>
      <c r="K22" t="str">
        <v>Fantasy Fiction</v>
      </c>
    </row>
    <row r="23" spans="1:11" x14ac:dyDescent="0.35">
      <c r="A23" s="8">
        <v>43254</v>
      </c>
      <c r="B23" s="9" t="s">
        <v>39</v>
      </c>
      <c r="C23" s="9" t="s">
        <v>26</v>
      </c>
      <c r="D23" s="9" t="str">
        <f>Table_0__4[[#This Row],[Book]]</f>
        <v>The Cast</v>
      </c>
      <c r="E23" s="8">
        <f>Table_0__4[[#This Row],[Date]]</f>
        <v>43254</v>
      </c>
      <c r="F23" s="9" t="s">
        <v>217</v>
      </c>
      <c r="G23" s="14">
        <v>8.99</v>
      </c>
      <c r="I23" s="10" t="s">
        <v>51</v>
      </c>
      <c r="K23" t="str">
        <v>Mystery Thriller</v>
      </c>
    </row>
    <row r="24" spans="1:11" x14ac:dyDescent="0.35">
      <c r="A24" s="8">
        <v>43261</v>
      </c>
      <c r="B24" s="9" t="s">
        <v>40</v>
      </c>
      <c r="C24" s="9" t="s">
        <v>41</v>
      </c>
      <c r="D24" s="9" t="str">
        <f>Table_0__4[[#This Row],[Book]]</f>
        <v>The Outsider</v>
      </c>
      <c r="E24" s="8">
        <f>Table_0__4[[#This Row],[Date]]</f>
        <v>43261</v>
      </c>
      <c r="F24" s="9" t="s">
        <v>225</v>
      </c>
      <c r="G24" s="14">
        <v>10.99</v>
      </c>
      <c r="I24" s="10" t="s">
        <v>202</v>
      </c>
      <c r="K24" t="str">
        <v>Young Adult Fiction</v>
      </c>
    </row>
    <row r="25" spans="1:11" x14ac:dyDescent="0.35">
      <c r="A25" s="8">
        <v>43268</v>
      </c>
      <c r="B25" s="9" t="s">
        <v>42</v>
      </c>
      <c r="C25" s="9" t="s">
        <v>43</v>
      </c>
      <c r="D25" s="9" t="str">
        <f>Table_0__4[[#This Row],[Book]]</f>
        <v>Shelter in Place</v>
      </c>
      <c r="E25" s="8">
        <f>Table_0__4[[#This Row],[Date]]</f>
        <v>43268</v>
      </c>
      <c r="F25" s="9" t="s">
        <v>217</v>
      </c>
      <c r="G25" s="14">
        <v>8.99</v>
      </c>
      <c r="I25" s="11" t="s">
        <v>56</v>
      </c>
    </row>
    <row r="26" spans="1:11" x14ac:dyDescent="0.35">
      <c r="A26" s="8">
        <v>43275</v>
      </c>
      <c r="B26" s="9" t="s">
        <v>44</v>
      </c>
      <c r="C26" s="9" t="s">
        <v>201</v>
      </c>
      <c r="D26" s="9" t="str">
        <f>Table_0__4[[#This Row],[Book]]</f>
        <v>The President Is Missing</v>
      </c>
      <c r="E26" s="8">
        <f>Table_0__4[[#This Row],[Date]]</f>
        <v>43275</v>
      </c>
      <c r="F26" s="9" t="s">
        <v>236</v>
      </c>
      <c r="G26" s="14">
        <v>10.61</v>
      </c>
      <c r="I26" s="10" t="s">
        <v>58</v>
      </c>
    </row>
    <row r="27" spans="1:11" x14ac:dyDescent="0.35">
      <c r="A27" s="8">
        <v>43282</v>
      </c>
      <c r="B27" s="9" t="s">
        <v>44</v>
      </c>
      <c r="C27" s="9" t="s">
        <v>201</v>
      </c>
      <c r="D27" s="9" t="str">
        <f>Table_0__4[[#This Row],[Book]]</f>
        <v>The President Is Missing</v>
      </c>
      <c r="E27" s="8">
        <f>Table_0__4[[#This Row],[Date]]</f>
        <v>43282</v>
      </c>
      <c r="F27" s="9" t="s">
        <v>236</v>
      </c>
      <c r="G27" s="14">
        <v>10.61</v>
      </c>
      <c r="I27" s="11" t="s">
        <v>60</v>
      </c>
    </row>
    <row r="28" spans="1:11" x14ac:dyDescent="0.35">
      <c r="A28" s="8">
        <v>43289</v>
      </c>
      <c r="B28" s="9" t="s">
        <v>44</v>
      </c>
      <c r="C28" s="9" t="s">
        <v>201</v>
      </c>
      <c r="D28" s="9" t="str">
        <f>Table_0__4[[#This Row],[Book]]</f>
        <v>The President Is Missing</v>
      </c>
      <c r="E28" s="8">
        <f>Table_0__4[[#This Row],[Date]]</f>
        <v>43289</v>
      </c>
      <c r="F28" s="9" t="s">
        <v>236</v>
      </c>
      <c r="G28" s="14">
        <v>10.61</v>
      </c>
      <c r="I28" s="10" t="s">
        <v>62</v>
      </c>
    </row>
    <row r="29" spans="1:11" x14ac:dyDescent="0.35">
      <c r="A29" s="8">
        <v>43296</v>
      </c>
      <c r="B29" s="9" t="s">
        <v>44</v>
      </c>
      <c r="C29" s="9" t="s">
        <v>201</v>
      </c>
      <c r="D29" s="9" t="str">
        <f>Table_0__4[[#This Row],[Book]]</f>
        <v>The President Is Missing</v>
      </c>
      <c r="E29" s="8">
        <f>Table_0__4[[#This Row],[Date]]</f>
        <v>43296</v>
      </c>
      <c r="F29" s="9" t="s">
        <v>236</v>
      </c>
      <c r="G29" s="14">
        <v>10.61</v>
      </c>
      <c r="I29" s="11" t="s">
        <v>64</v>
      </c>
    </row>
    <row r="30" spans="1:11" x14ac:dyDescent="0.35">
      <c r="A30" s="8">
        <v>43303</v>
      </c>
      <c r="B30" s="9" t="s">
        <v>44</v>
      </c>
      <c r="C30" s="9" t="s">
        <v>201</v>
      </c>
      <c r="D30" s="9" t="str">
        <f>Table_0__4[[#This Row],[Book]]</f>
        <v>The President Is Missing</v>
      </c>
      <c r="E30" s="8">
        <f>Table_0__4[[#This Row],[Date]]</f>
        <v>43303</v>
      </c>
      <c r="F30" s="9" t="s">
        <v>236</v>
      </c>
      <c r="G30" s="14">
        <v>10.61</v>
      </c>
      <c r="I30" s="10" t="s">
        <v>66</v>
      </c>
    </row>
    <row r="31" spans="1:11" x14ac:dyDescent="0.35">
      <c r="A31" s="8">
        <v>43310</v>
      </c>
      <c r="B31" s="9" t="s">
        <v>44</v>
      </c>
      <c r="C31" s="9" t="s">
        <v>201</v>
      </c>
      <c r="D31" s="9" t="str">
        <f>Table_0__4[[#This Row],[Book]]</f>
        <v>The President Is Missing</v>
      </c>
      <c r="E31" s="8">
        <f>Table_0__4[[#This Row],[Date]]</f>
        <v>43310</v>
      </c>
      <c r="F31" s="9" t="s">
        <v>236</v>
      </c>
      <c r="G31" s="14">
        <v>10.61</v>
      </c>
      <c r="I31" s="11" t="s">
        <v>68</v>
      </c>
    </row>
    <row r="32" spans="1:11" x14ac:dyDescent="0.35">
      <c r="A32" s="8">
        <v>43317</v>
      </c>
      <c r="B32" s="9" t="s">
        <v>46</v>
      </c>
      <c r="C32" s="9" t="s">
        <v>47</v>
      </c>
      <c r="D32" s="9" t="str">
        <f>Table_0__4[[#This Row],[Book]]</f>
        <v>The Other Woman</v>
      </c>
      <c r="E32" s="8">
        <f>Table_0__4[[#This Row],[Date]]</f>
        <v>43317</v>
      </c>
      <c r="F32" s="9" t="s">
        <v>226</v>
      </c>
      <c r="G32" s="14">
        <v>9.99</v>
      </c>
      <c r="I32" s="10" t="s">
        <v>70</v>
      </c>
    </row>
    <row r="33" spans="1:9" x14ac:dyDescent="0.35">
      <c r="A33" s="8">
        <v>43324</v>
      </c>
      <c r="B33" s="9" t="s">
        <v>7</v>
      </c>
      <c r="C33" s="9" t="s">
        <v>8</v>
      </c>
      <c r="D33" s="9" t="str">
        <f>Table_0__4[[#This Row],[Book]]</f>
        <v>Origin</v>
      </c>
      <c r="E33" s="8">
        <f>Table_0__4[[#This Row],[Date]]</f>
        <v>43324</v>
      </c>
      <c r="F33" s="9" t="s">
        <v>227</v>
      </c>
      <c r="G33" s="14">
        <v>8.35</v>
      </c>
      <c r="I33" s="11" t="s">
        <v>72</v>
      </c>
    </row>
    <row r="34" spans="1:9" x14ac:dyDescent="0.35">
      <c r="A34" s="8">
        <v>43331</v>
      </c>
      <c r="B34" s="9" t="s">
        <v>7</v>
      </c>
      <c r="C34" s="9" t="s">
        <v>8</v>
      </c>
      <c r="D34" s="9" t="str">
        <f>Table_0__4[[#This Row],[Book]]</f>
        <v>Origin</v>
      </c>
      <c r="E34" s="8">
        <f>Table_0__4[[#This Row],[Date]]</f>
        <v>43331</v>
      </c>
      <c r="F34" s="9" t="s">
        <v>227</v>
      </c>
      <c r="G34" s="14">
        <v>8.35</v>
      </c>
      <c r="I34" s="10" t="s">
        <v>74</v>
      </c>
    </row>
    <row r="35" spans="1:9" x14ac:dyDescent="0.35">
      <c r="A35" s="8">
        <v>43338</v>
      </c>
      <c r="B35" s="9" t="s">
        <v>48</v>
      </c>
      <c r="C35" s="9" t="s">
        <v>49</v>
      </c>
      <c r="D35" s="9" t="str">
        <f>Table_0__4[[#This Row],[Book]]</f>
        <v>Tailspin</v>
      </c>
      <c r="E35" s="8">
        <f>Table_0__4[[#This Row],[Date]]</f>
        <v>43338</v>
      </c>
      <c r="F35" s="9" t="s">
        <v>228</v>
      </c>
      <c r="G35" s="14">
        <v>8.99</v>
      </c>
      <c r="I35" s="11" t="s">
        <v>76</v>
      </c>
    </row>
    <row r="36" spans="1:9" x14ac:dyDescent="0.35">
      <c r="A36" s="8">
        <v>43345</v>
      </c>
      <c r="B36" s="9" t="s">
        <v>50</v>
      </c>
      <c r="C36" s="9" t="s">
        <v>51</v>
      </c>
      <c r="D36" s="9" t="str">
        <f>Table_0__4[[#This Row],[Book]]</f>
        <v>Crazy Rich Asians</v>
      </c>
      <c r="E36" s="8">
        <f>Table_0__4[[#This Row],[Date]]</f>
        <v>43345</v>
      </c>
      <c r="F36" s="9" t="s">
        <v>229</v>
      </c>
      <c r="G36" s="14">
        <v>9.99</v>
      </c>
    </row>
    <row r="37" spans="1:9" x14ac:dyDescent="0.35">
      <c r="A37" s="8">
        <v>43352</v>
      </c>
      <c r="B37" s="9" t="s">
        <v>50</v>
      </c>
      <c r="C37" s="9" t="s">
        <v>51</v>
      </c>
      <c r="D37" s="9" t="str">
        <f>Table_0__4[[#This Row],[Book]]</f>
        <v>Crazy Rich Asians</v>
      </c>
      <c r="E37" s="8">
        <f>Table_0__4[[#This Row],[Date]]</f>
        <v>43352</v>
      </c>
      <c r="F37" s="9" t="s">
        <v>229</v>
      </c>
      <c r="G37" s="14">
        <v>9.99</v>
      </c>
    </row>
    <row r="38" spans="1:9" x14ac:dyDescent="0.35">
      <c r="A38" s="8">
        <v>43359</v>
      </c>
      <c r="B38" s="9" t="s">
        <v>50</v>
      </c>
      <c r="C38" s="9" t="s">
        <v>51</v>
      </c>
      <c r="D38" s="9" t="str">
        <f>Table_0__4[[#This Row],[Book]]</f>
        <v>Crazy Rich Asians</v>
      </c>
      <c r="E38" s="8">
        <f>Table_0__4[[#This Row],[Date]]</f>
        <v>43359</v>
      </c>
      <c r="F38" s="9" t="s">
        <v>229</v>
      </c>
      <c r="G38" s="14">
        <v>9.99</v>
      </c>
    </row>
    <row r="39" spans="1:9" x14ac:dyDescent="0.35">
      <c r="A39" s="8">
        <v>43366</v>
      </c>
      <c r="B39" s="9" t="s">
        <v>52</v>
      </c>
      <c r="C39" s="9" t="s">
        <v>18</v>
      </c>
      <c r="D39" s="9" t="str">
        <f>Table_0__4[[#This Row],[Book]]</f>
        <v>Leverage In Death</v>
      </c>
      <c r="E39" s="8">
        <f>Table_0__4[[#This Row],[Date]]</f>
        <v>43366</v>
      </c>
      <c r="F39" s="9" t="s">
        <v>222</v>
      </c>
      <c r="G39" s="14">
        <v>7.99</v>
      </c>
    </row>
    <row r="40" spans="1:9" x14ac:dyDescent="0.35">
      <c r="A40" s="8">
        <v>43373</v>
      </c>
      <c r="B40" s="9" t="s">
        <v>53</v>
      </c>
      <c r="C40" s="9" t="s">
        <v>202</v>
      </c>
      <c r="D40" s="9" t="str">
        <f>Table_0__4[[#This Row],[Book]]</f>
        <v>Juror #3</v>
      </c>
      <c r="E40" s="8">
        <f>Table_0__4[[#This Row],[Date]]</f>
        <v>43373</v>
      </c>
      <c r="F40" s="9" t="s">
        <v>224</v>
      </c>
      <c r="G40" s="14">
        <v>9.99</v>
      </c>
    </row>
    <row r="41" spans="1:9" x14ac:dyDescent="0.35">
      <c r="A41" s="8">
        <v>43380</v>
      </c>
      <c r="B41" s="9" t="s">
        <v>55</v>
      </c>
      <c r="C41" s="9" t="s">
        <v>56</v>
      </c>
      <c r="D41" s="9" t="str">
        <f>Table_0__4[[#This Row],[Book]]</f>
        <v>Lethal White</v>
      </c>
      <c r="E41" s="8">
        <f>Table_0__4[[#This Row],[Date]]</f>
        <v>43380</v>
      </c>
      <c r="F41" s="9" t="s">
        <v>230</v>
      </c>
      <c r="G41" s="14">
        <v>16.989999999999998</v>
      </c>
    </row>
    <row r="42" spans="1:9" x14ac:dyDescent="0.35">
      <c r="A42" s="8">
        <v>43387</v>
      </c>
      <c r="B42" s="9" t="s">
        <v>57</v>
      </c>
      <c r="C42" s="9" t="s">
        <v>58</v>
      </c>
      <c r="D42" s="9" t="str">
        <f>Table_0__4[[#This Row],[Book]]</f>
        <v>Vince Flynn: Red War</v>
      </c>
      <c r="E42" s="8">
        <f>Table_0__4[[#This Row],[Date]]</f>
        <v>43387</v>
      </c>
      <c r="F42" s="9" t="s">
        <v>231</v>
      </c>
      <c r="G42" s="14">
        <v>9.99</v>
      </c>
    </row>
    <row r="43" spans="1:9" x14ac:dyDescent="0.35">
      <c r="A43" s="8">
        <v>43394</v>
      </c>
      <c r="B43" s="9" t="s">
        <v>59</v>
      </c>
      <c r="C43" s="9" t="s">
        <v>60</v>
      </c>
      <c r="D43" s="9" t="str">
        <f>Table_0__4[[#This Row],[Book]]</f>
        <v>A Spark Of Light</v>
      </c>
      <c r="E43" s="8">
        <f>Table_0__4[[#This Row],[Date]]</f>
        <v>43394</v>
      </c>
      <c r="F43" s="9" t="s">
        <v>232</v>
      </c>
      <c r="G43" s="14">
        <v>17.989999999999998</v>
      </c>
    </row>
    <row r="44" spans="1:9" x14ac:dyDescent="0.35">
      <c r="A44" s="8">
        <v>43401</v>
      </c>
      <c r="B44" s="9" t="s">
        <v>61</v>
      </c>
      <c r="C44" s="9" t="s">
        <v>62</v>
      </c>
      <c r="D44" s="9" t="str">
        <f>Table_0__4[[#This Row],[Book]]</f>
        <v>Holy Ghost</v>
      </c>
      <c r="E44" s="8">
        <f>Table_0__4[[#This Row],[Date]]</f>
        <v>43401</v>
      </c>
      <c r="F44" s="9" t="s">
        <v>224</v>
      </c>
      <c r="G44" s="14">
        <v>9.99</v>
      </c>
    </row>
    <row r="45" spans="1:9" x14ac:dyDescent="0.35">
      <c r="A45" s="8">
        <v>43408</v>
      </c>
      <c r="B45" s="9" t="s">
        <v>63</v>
      </c>
      <c r="C45" s="9" t="s">
        <v>64</v>
      </c>
      <c r="D45" s="9" t="str">
        <f>Table_0__4[[#This Row],[Book]]</f>
        <v>Every Breath</v>
      </c>
      <c r="E45" s="8">
        <f>Table_0__4[[#This Row],[Date]]</f>
        <v>43408</v>
      </c>
      <c r="F45" s="9" t="s">
        <v>217</v>
      </c>
      <c r="G45" s="14">
        <v>8.99</v>
      </c>
    </row>
    <row r="46" spans="1:9" x14ac:dyDescent="0.35">
      <c r="A46" s="8">
        <v>43415</v>
      </c>
      <c r="B46" s="9" t="s">
        <v>65</v>
      </c>
      <c r="C46" s="9" t="s">
        <v>66</v>
      </c>
      <c r="D46" s="9" t="str">
        <f>Table_0__4[[#This Row],[Book]]</f>
        <v>The Reckoning</v>
      </c>
      <c r="E46" s="8">
        <f>Table_0__4[[#This Row],[Date]]</f>
        <v>43415</v>
      </c>
      <c r="F46" s="9" t="s">
        <v>232</v>
      </c>
      <c r="G46" s="14">
        <v>17</v>
      </c>
    </row>
    <row r="47" spans="1:9" x14ac:dyDescent="0.35">
      <c r="A47" s="8">
        <v>43422</v>
      </c>
      <c r="B47" s="9" t="s">
        <v>67</v>
      </c>
      <c r="C47" s="9" t="s">
        <v>68</v>
      </c>
      <c r="D47" s="9" t="str">
        <f>Table_0__4[[#This Row],[Book]]</f>
        <v>Dark Sacred Night</v>
      </c>
      <c r="E47" s="8">
        <f>Table_0__4[[#This Row],[Date]]</f>
        <v>43422</v>
      </c>
      <c r="F47" s="9" t="s">
        <v>232</v>
      </c>
      <c r="G47" s="14">
        <v>9.99</v>
      </c>
    </row>
    <row r="48" spans="1:9" x14ac:dyDescent="0.35">
      <c r="A48" s="8">
        <v>43429</v>
      </c>
      <c r="B48" s="9" t="s">
        <v>69</v>
      </c>
      <c r="C48" s="9" t="s">
        <v>70</v>
      </c>
      <c r="D48" s="9" t="str">
        <f>Table_0__4[[#This Row],[Book]]</f>
        <v>Past Tense</v>
      </c>
      <c r="E48" s="8">
        <f>Table_0__4[[#This Row],[Date]]</f>
        <v>43429</v>
      </c>
      <c r="F48" s="9" t="s">
        <v>224</v>
      </c>
      <c r="G48" s="14">
        <v>9.99</v>
      </c>
    </row>
    <row r="49" spans="1:7" x14ac:dyDescent="0.35">
      <c r="A49" s="8">
        <v>43436</v>
      </c>
      <c r="B49" s="9" t="s">
        <v>71</v>
      </c>
      <c r="C49" s="9" t="s">
        <v>72</v>
      </c>
      <c r="D49" s="9" t="str">
        <f>Table_0__4[[#This Row],[Book]]</f>
        <v>Look Alive Twenty-Five</v>
      </c>
      <c r="E49" s="8">
        <f>Table_0__4[[#This Row],[Date]]</f>
        <v>43436</v>
      </c>
      <c r="F49" s="9" t="s">
        <v>217</v>
      </c>
      <c r="G49" s="14">
        <v>9.99</v>
      </c>
    </row>
    <row r="50" spans="1:7" x14ac:dyDescent="0.35">
      <c r="A50" s="8">
        <v>43443</v>
      </c>
      <c r="B50" s="9" t="s">
        <v>73</v>
      </c>
      <c r="C50" s="9" t="s">
        <v>74</v>
      </c>
      <c r="D50" s="9" t="str">
        <f>Table_0__4[[#This Row],[Book]]</f>
        <v>Fire and Blood</v>
      </c>
      <c r="E50" s="8">
        <f>Table_0__4[[#This Row],[Date]]</f>
        <v>43443</v>
      </c>
      <c r="F50" s="9" t="s">
        <v>233</v>
      </c>
      <c r="G50" s="14">
        <v>16.989999999999998</v>
      </c>
    </row>
    <row r="51" spans="1:7" x14ac:dyDescent="0.35">
      <c r="A51" s="8">
        <v>43450</v>
      </c>
      <c r="B51" s="9" t="s">
        <v>75</v>
      </c>
      <c r="C51" s="9" t="s">
        <v>76</v>
      </c>
      <c r="D51" s="9" t="str">
        <f>Table_0__4[[#This Row],[Book]]</f>
        <v>Kingdom of the Blind</v>
      </c>
      <c r="E51" s="8">
        <f>Table_0__4[[#This Row],[Date]]</f>
        <v>43450</v>
      </c>
      <c r="F51" s="9" t="s">
        <v>234</v>
      </c>
      <c r="G51" s="14">
        <v>17.989999999999998</v>
      </c>
    </row>
    <row r="52" spans="1:7" x14ac:dyDescent="0.35">
      <c r="A52" s="8">
        <v>43457</v>
      </c>
      <c r="B52" s="9" t="s">
        <v>77</v>
      </c>
      <c r="C52" s="9" t="s">
        <v>43</v>
      </c>
      <c r="D52" s="9" t="str">
        <f>Table_0__4[[#This Row],[Book]]</f>
        <v>Of Blood and Bone</v>
      </c>
      <c r="E52" s="8">
        <f>Table_0__4[[#This Row],[Date]]</f>
        <v>43457</v>
      </c>
      <c r="F52" s="9" t="s">
        <v>235</v>
      </c>
      <c r="G52" s="14">
        <v>8.99</v>
      </c>
    </row>
    <row r="53" spans="1:7" x14ac:dyDescent="0.35">
      <c r="A53" s="8">
        <v>43464</v>
      </c>
      <c r="B53" s="9" t="s">
        <v>65</v>
      </c>
      <c r="C53" s="9" t="s">
        <v>66</v>
      </c>
      <c r="D53" s="9" t="str">
        <f>Table_0__4[[#This Row],[Book]]</f>
        <v>The Reckoning</v>
      </c>
      <c r="E53" s="8">
        <f>Table_0__4[[#This Row],[Date]]</f>
        <v>43464</v>
      </c>
      <c r="F53" s="9" t="s">
        <v>232</v>
      </c>
      <c r="G53" s="14">
        <v>17</v>
      </c>
    </row>
  </sheetData>
  <phoneticPr fontId="17"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42EBC-FF29-4B06-8F1C-7604D6AE4D6D}">
  <sheetPr codeName="Sheet5"/>
  <dimension ref="A1:I53"/>
  <sheetViews>
    <sheetView workbookViewId="0">
      <selection activeCell="B3" sqref="B3"/>
    </sheetView>
  </sheetViews>
  <sheetFormatPr defaultRowHeight="14.5" x14ac:dyDescent="0.35"/>
  <cols>
    <col min="1" max="1" width="10.453125" bestFit="1" customWidth="1"/>
    <col min="2" max="2" width="22.81640625" bestFit="1" customWidth="1"/>
    <col min="3" max="3" width="31" bestFit="1" customWidth="1"/>
    <col min="4" max="4" width="22.81640625" bestFit="1" customWidth="1"/>
    <col min="5" max="5" width="10.54296875" bestFit="1" customWidth="1"/>
    <col min="6" max="6" width="21.1796875" bestFit="1" customWidth="1"/>
    <col min="7" max="7" width="7.1796875" bestFit="1" customWidth="1"/>
    <col min="9" max="9" width="31" bestFit="1" customWidth="1"/>
  </cols>
  <sheetData>
    <row r="1" spans="1:9" x14ac:dyDescent="0.35">
      <c r="A1" t="s">
        <v>4</v>
      </c>
      <c r="B1" t="s">
        <v>5</v>
      </c>
      <c r="C1" t="s">
        <v>6</v>
      </c>
      <c r="D1" t="s">
        <v>208</v>
      </c>
      <c r="E1" t="s">
        <v>209</v>
      </c>
      <c r="F1" t="s">
        <v>212</v>
      </c>
      <c r="G1" t="s">
        <v>213</v>
      </c>
    </row>
    <row r="2" spans="1:9" x14ac:dyDescent="0.35">
      <c r="A2" s="8">
        <v>44202</v>
      </c>
      <c r="B2" s="9" t="s">
        <v>65</v>
      </c>
      <c r="C2" s="9" t="s">
        <v>66</v>
      </c>
      <c r="D2" s="9" t="str">
        <f>Table_0__3[[#This Row],[Book]]</f>
        <v>The Reckoning</v>
      </c>
      <c r="E2" s="8">
        <f>Table_0__3[[#This Row],[Date]]</f>
        <v>44202</v>
      </c>
      <c r="F2" s="9" t="s">
        <v>232</v>
      </c>
      <c r="G2" s="14">
        <v>17</v>
      </c>
      <c r="I2" s="10" t="s">
        <v>66</v>
      </c>
    </row>
    <row r="3" spans="1:9" x14ac:dyDescent="0.35">
      <c r="A3" s="8">
        <v>44209</v>
      </c>
      <c r="B3" s="9" t="s">
        <v>78</v>
      </c>
      <c r="C3" s="9" t="s">
        <v>34</v>
      </c>
      <c r="D3" s="9" t="str">
        <f>Table_0__3[[#This Row],[Book]]</f>
        <v>Long Road to Mercy</v>
      </c>
      <c r="E3" s="8">
        <f>Table_0__3[[#This Row],[Date]]</f>
        <v>44209</v>
      </c>
      <c r="F3" s="9" t="s">
        <v>232</v>
      </c>
      <c r="G3" s="14">
        <v>9.99</v>
      </c>
      <c r="I3" s="11" t="s">
        <v>34</v>
      </c>
    </row>
    <row r="4" spans="1:9" x14ac:dyDescent="0.35">
      <c r="A4" s="8">
        <v>44216</v>
      </c>
      <c r="B4" s="9" t="s">
        <v>79</v>
      </c>
      <c r="C4" s="9" t="s">
        <v>199</v>
      </c>
      <c r="D4" s="9" t="str">
        <f>Table_0__3[[#This Row],[Book]]</f>
        <v>Verses for the Dead</v>
      </c>
      <c r="E4" s="8">
        <f>Table_0__3[[#This Row],[Date]]</f>
        <v>44216</v>
      </c>
      <c r="F4" s="9" t="s">
        <v>232</v>
      </c>
      <c r="G4" s="14">
        <v>15.91</v>
      </c>
      <c r="I4" s="10" t="s">
        <v>199</v>
      </c>
    </row>
    <row r="5" spans="1:9" x14ac:dyDescent="0.35">
      <c r="A5" s="8">
        <v>44223</v>
      </c>
      <c r="B5" s="9" t="s">
        <v>80</v>
      </c>
      <c r="C5" s="9" t="s">
        <v>26</v>
      </c>
      <c r="D5" s="9" t="str">
        <f>Table_0__3[[#This Row],[Book]]</f>
        <v>Turning Point</v>
      </c>
      <c r="E5" s="8">
        <f>Table_0__3[[#This Row],[Date]]</f>
        <v>44223</v>
      </c>
      <c r="F5" s="9" t="s">
        <v>217</v>
      </c>
      <c r="G5" s="14">
        <v>7.34</v>
      </c>
      <c r="I5" s="11" t="s">
        <v>26</v>
      </c>
    </row>
    <row r="6" spans="1:9" x14ac:dyDescent="0.35">
      <c r="A6" s="8">
        <v>44230</v>
      </c>
      <c r="B6" s="9" t="s">
        <v>81</v>
      </c>
      <c r="C6" s="9" t="s">
        <v>82</v>
      </c>
      <c r="D6" s="9" t="str">
        <f>Table_0__3[[#This Row],[Book]]</f>
        <v>Where the Crawdads Sing</v>
      </c>
      <c r="E6" s="8">
        <f>Table_0__3[[#This Row],[Date]]</f>
        <v>44230</v>
      </c>
      <c r="F6" s="9" t="s">
        <v>217</v>
      </c>
      <c r="G6" s="14">
        <v>18</v>
      </c>
      <c r="I6" s="10" t="s">
        <v>82</v>
      </c>
    </row>
    <row r="7" spans="1:9" x14ac:dyDescent="0.35">
      <c r="A7" s="8">
        <v>44237</v>
      </c>
      <c r="B7" s="9" t="s">
        <v>81</v>
      </c>
      <c r="C7" s="9" t="s">
        <v>82</v>
      </c>
      <c r="D7" s="9" t="str">
        <f>Table_0__3[[#This Row],[Book]]</f>
        <v>Where the Crawdads Sing</v>
      </c>
      <c r="E7" s="8">
        <f>Table_0__3[[#This Row],[Date]]</f>
        <v>44237</v>
      </c>
      <c r="F7" s="9" t="s">
        <v>217</v>
      </c>
      <c r="G7" s="14">
        <v>18</v>
      </c>
      <c r="I7" s="11" t="s">
        <v>84</v>
      </c>
    </row>
    <row r="8" spans="1:9" x14ac:dyDescent="0.35">
      <c r="A8" s="8">
        <v>44244</v>
      </c>
      <c r="B8" s="9" t="s">
        <v>81</v>
      </c>
      <c r="C8" s="9" t="s">
        <v>82</v>
      </c>
      <c r="D8" s="9" t="str">
        <f>Table_0__3[[#This Row],[Book]]</f>
        <v>Where the Crawdads Sing</v>
      </c>
      <c r="E8" s="8">
        <f>Table_0__3[[#This Row],[Date]]</f>
        <v>44244</v>
      </c>
      <c r="F8" s="9" t="s">
        <v>217</v>
      </c>
      <c r="G8" s="14">
        <v>18</v>
      </c>
      <c r="I8" s="10" t="s">
        <v>36</v>
      </c>
    </row>
    <row r="9" spans="1:9" x14ac:dyDescent="0.35">
      <c r="A9" s="8">
        <v>44251</v>
      </c>
      <c r="B9" s="9" t="s">
        <v>83</v>
      </c>
      <c r="C9" s="9" t="s">
        <v>84</v>
      </c>
      <c r="D9" s="9" t="str">
        <f>Table_0__3[[#This Row],[Book]]</f>
        <v>Connections in Death</v>
      </c>
      <c r="E9" s="8">
        <f>Table_0__3[[#This Row],[Date]]</f>
        <v>44251</v>
      </c>
      <c r="F9" s="9" t="s">
        <v>236</v>
      </c>
      <c r="G9" s="14">
        <v>8.99</v>
      </c>
      <c r="I9" s="11" t="s">
        <v>101</v>
      </c>
    </row>
    <row r="10" spans="1:9" x14ac:dyDescent="0.35">
      <c r="A10" s="8">
        <v>44258</v>
      </c>
      <c r="B10" s="9" t="s">
        <v>81</v>
      </c>
      <c r="C10" s="9" t="s">
        <v>82</v>
      </c>
      <c r="D10" s="9" t="str">
        <f>Table_0__3[[#This Row],[Book]]</f>
        <v>Where the Crawdads Sing</v>
      </c>
      <c r="E10" s="8">
        <f>Table_0__3[[#This Row],[Date]]</f>
        <v>44258</v>
      </c>
      <c r="F10" s="9" t="s">
        <v>217</v>
      </c>
      <c r="G10" s="14">
        <v>18</v>
      </c>
      <c r="I10" s="10" t="s">
        <v>90</v>
      </c>
    </row>
    <row r="11" spans="1:9" x14ac:dyDescent="0.35">
      <c r="A11" s="8">
        <v>44265</v>
      </c>
      <c r="B11" s="9" t="s">
        <v>81</v>
      </c>
      <c r="C11" s="9" t="s">
        <v>82</v>
      </c>
      <c r="D11" s="9" t="str">
        <f>Table_0__3[[#This Row],[Book]]</f>
        <v>Where the Crawdads Sing</v>
      </c>
      <c r="E11" s="8">
        <f>Table_0__3[[#This Row],[Date]]</f>
        <v>44265</v>
      </c>
      <c r="F11" s="9" t="s">
        <v>217</v>
      </c>
      <c r="G11" s="14">
        <v>18</v>
      </c>
      <c r="I11" s="11" t="s">
        <v>43</v>
      </c>
    </row>
    <row r="12" spans="1:9" x14ac:dyDescent="0.35">
      <c r="A12" s="8">
        <v>44272</v>
      </c>
      <c r="B12" s="9" t="s">
        <v>81</v>
      </c>
      <c r="C12" s="9" t="s">
        <v>82</v>
      </c>
      <c r="D12" s="9" t="str">
        <f>Table_0__3[[#This Row],[Book]]</f>
        <v>Where the Crawdads Sing</v>
      </c>
      <c r="E12" s="8">
        <f>Table_0__3[[#This Row],[Date]]</f>
        <v>44272</v>
      </c>
      <c r="F12" s="9" t="s">
        <v>217</v>
      </c>
      <c r="G12" s="14">
        <v>18</v>
      </c>
      <c r="I12" s="10" t="s">
        <v>47</v>
      </c>
    </row>
    <row r="13" spans="1:9" x14ac:dyDescent="0.35">
      <c r="A13" s="8">
        <v>44279</v>
      </c>
      <c r="B13" s="9" t="s">
        <v>81</v>
      </c>
      <c r="C13" s="9" t="s">
        <v>82</v>
      </c>
      <c r="D13" s="9" t="str">
        <f>Table_0__3[[#This Row],[Book]]</f>
        <v>Where the Crawdads Sing</v>
      </c>
      <c r="E13" s="8">
        <f>Table_0__3[[#This Row],[Date]]</f>
        <v>44279</v>
      </c>
      <c r="F13" s="9" t="s">
        <v>217</v>
      </c>
      <c r="G13" s="14">
        <v>18</v>
      </c>
      <c r="I13" s="10" t="s">
        <v>76</v>
      </c>
    </row>
    <row r="14" spans="1:9" x14ac:dyDescent="0.35">
      <c r="A14" s="8">
        <v>44286</v>
      </c>
      <c r="B14" s="9" t="s">
        <v>81</v>
      </c>
      <c r="C14" s="9" t="s">
        <v>82</v>
      </c>
      <c r="D14" s="9" t="str">
        <f>Table_0__3[[#This Row],[Book]]</f>
        <v>Where the Crawdads Sing</v>
      </c>
      <c r="E14" s="8">
        <f>Table_0__3[[#This Row],[Date]]</f>
        <v>44286</v>
      </c>
      <c r="F14" s="9" t="s">
        <v>217</v>
      </c>
      <c r="G14" s="14">
        <v>18</v>
      </c>
      <c r="I14" s="10" t="s">
        <v>41</v>
      </c>
    </row>
    <row r="15" spans="1:9" x14ac:dyDescent="0.35">
      <c r="A15" s="8">
        <v>44293</v>
      </c>
      <c r="B15" s="9" t="s">
        <v>81</v>
      </c>
      <c r="C15" s="9" t="s">
        <v>82</v>
      </c>
      <c r="D15" s="9" t="str">
        <f>Table_0__3[[#This Row],[Book]]</f>
        <v>Where the Crawdads Sing</v>
      </c>
      <c r="E15" s="8">
        <f>Table_0__3[[#This Row],[Date]]</f>
        <v>44293</v>
      </c>
      <c r="F15" s="9" t="s">
        <v>217</v>
      </c>
      <c r="G15" s="14">
        <v>18</v>
      </c>
      <c r="I15" s="10" t="s">
        <v>98</v>
      </c>
    </row>
    <row r="16" spans="1:9" x14ac:dyDescent="0.35">
      <c r="A16" s="8">
        <v>44300</v>
      </c>
      <c r="B16" s="9" t="s">
        <v>81</v>
      </c>
      <c r="C16" s="9" t="s">
        <v>82</v>
      </c>
      <c r="D16" s="9" t="str">
        <f>Table_0__3[[#This Row],[Book]]</f>
        <v>Where the Crawdads Sing</v>
      </c>
      <c r="E16" s="8">
        <f>Table_0__3[[#This Row],[Date]]</f>
        <v>44300</v>
      </c>
      <c r="F16" s="9" t="s">
        <v>217</v>
      </c>
      <c r="G16" s="14">
        <v>18</v>
      </c>
      <c r="I16" s="10" t="s">
        <v>68</v>
      </c>
    </row>
    <row r="17" spans="1:9" x14ac:dyDescent="0.35">
      <c r="A17" s="8">
        <v>44307</v>
      </c>
      <c r="B17" s="9" t="s">
        <v>81</v>
      </c>
      <c r="C17" s="9" t="s">
        <v>82</v>
      </c>
      <c r="D17" s="9" t="str">
        <f>Table_0__3[[#This Row],[Book]]</f>
        <v>Where the Crawdads Sing</v>
      </c>
      <c r="E17" s="8">
        <f>Table_0__3[[#This Row],[Date]]</f>
        <v>44307</v>
      </c>
      <c r="F17" s="9" t="s">
        <v>217</v>
      </c>
      <c r="G17" s="14">
        <v>18</v>
      </c>
      <c r="I17" s="11" t="s">
        <v>70</v>
      </c>
    </row>
    <row r="18" spans="1:9" x14ac:dyDescent="0.35">
      <c r="A18" s="8">
        <v>44314</v>
      </c>
      <c r="B18" s="9" t="s">
        <v>81</v>
      </c>
      <c r="C18" s="9" t="s">
        <v>82</v>
      </c>
      <c r="D18" s="9" t="str">
        <f>Table_0__3[[#This Row],[Book]]</f>
        <v>Where the Crawdads Sing</v>
      </c>
      <c r="E18" s="8">
        <f>Table_0__3[[#This Row],[Date]]</f>
        <v>44314</v>
      </c>
      <c r="F18" s="9" t="s">
        <v>217</v>
      </c>
      <c r="G18" s="14">
        <v>18</v>
      </c>
      <c r="I18" s="11" t="s">
        <v>72</v>
      </c>
    </row>
    <row r="19" spans="1:9" x14ac:dyDescent="0.35">
      <c r="A19" s="8">
        <v>44321</v>
      </c>
      <c r="B19" s="9" t="s">
        <v>85</v>
      </c>
      <c r="C19" s="9" t="s">
        <v>34</v>
      </c>
      <c r="D19" s="9" t="str">
        <f>Table_0__3[[#This Row],[Book]]</f>
        <v>Redemption</v>
      </c>
      <c r="E19" s="8">
        <f>Table_0__3[[#This Row],[Date]]</f>
        <v>44321</v>
      </c>
      <c r="F19" s="9" t="s">
        <v>237</v>
      </c>
      <c r="G19" s="14">
        <v>9.8800000000000008</v>
      </c>
    </row>
    <row r="20" spans="1:9" x14ac:dyDescent="0.35">
      <c r="A20" s="8">
        <v>44328</v>
      </c>
      <c r="B20" s="9" t="s">
        <v>86</v>
      </c>
      <c r="C20" s="9" t="s">
        <v>36</v>
      </c>
      <c r="D20" s="9" t="str">
        <f>Table_0__3[[#This Row],[Book]]</f>
        <v>Neon Prey</v>
      </c>
      <c r="E20" s="8">
        <f>Table_0__3[[#This Row],[Date]]</f>
        <v>44328</v>
      </c>
      <c r="F20" s="9" t="s">
        <v>237</v>
      </c>
      <c r="G20" s="14">
        <v>6.35</v>
      </c>
    </row>
    <row r="21" spans="1:9" x14ac:dyDescent="0.35">
      <c r="A21" s="8">
        <v>44335</v>
      </c>
      <c r="B21" s="9" t="s">
        <v>87</v>
      </c>
      <c r="C21" s="9" t="s">
        <v>101</v>
      </c>
      <c r="D21" s="9" t="str">
        <f>Table_0__3[[#This Row],[Book]]</f>
        <v>18th Abduction</v>
      </c>
      <c r="E21" s="8">
        <f>Table_0__3[[#This Row],[Date]]</f>
        <v>44335</v>
      </c>
      <c r="F21" s="9" t="s">
        <v>224</v>
      </c>
      <c r="G21" s="14">
        <v>9.99</v>
      </c>
    </row>
    <row r="22" spans="1:9" x14ac:dyDescent="0.35">
      <c r="A22" s="8">
        <v>44342</v>
      </c>
      <c r="B22" s="9" t="s">
        <v>81</v>
      </c>
      <c r="C22" s="9" t="s">
        <v>82</v>
      </c>
      <c r="D22" s="9" t="str">
        <f>Table_0__3[[#This Row],[Book]]</f>
        <v>Where the Crawdads Sing</v>
      </c>
      <c r="E22" s="8">
        <f>Table_0__3[[#This Row],[Date]]</f>
        <v>44342</v>
      </c>
      <c r="F22" s="9" t="s">
        <v>217</v>
      </c>
      <c r="G22" s="14">
        <v>18</v>
      </c>
    </row>
    <row r="23" spans="1:9" x14ac:dyDescent="0.35">
      <c r="A23" s="8">
        <v>44349</v>
      </c>
      <c r="B23" s="9" t="s">
        <v>81</v>
      </c>
      <c r="C23" s="9" t="s">
        <v>82</v>
      </c>
      <c r="D23" s="9" t="str">
        <f>Table_0__3[[#This Row],[Book]]</f>
        <v>Where the Crawdads Sing</v>
      </c>
      <c r="E23" s="8">
        <f>Table_0__3[[#This Row],[Date]]</f>
        <v>44349</v>
      </c>
      <c r="F23" s="9" t="s">
        <v>217</v>
      </c>
      <c r="G23" s="14">
        <v>18</v>
      </c>
    </row>
    <row r="24" spans="1:9" x14ac:dyDescent="0.35">
      <c r="A24" s="8">
        <v>44356</v>
      </c>
      <c r="B24" s="9" t="s">
        <v>81</v>
      </c>
      <c r="C24" s="9" t="s">
        <v>82</v>
      </c>
      <c r="D24" s="9" t="str">
        <f>Table_0__3[[#This Row],[Book]]</f>
        <v>Where the Crawdads Sing</v>
      </c>
      <c r="E24" s="8">
        <f>Table_0__3[[#This Row],[Date]]</f>
        <v>44356</v>
      </c>
      <c r="F24" s="9" t="s">
        <v>217</v>
      </c>
      <c r="G24" s="14">
        <v>18</v>
      </c>
    </row>
    <row r="25" spans="1:9" x14ac:dyDescent="0.35">
      <c r="A25" s="8">
        <v>44363</v>
      </c>
      <c r="B25" s="9" t="s">
        <v>81</v>
      </c>
      <c r="C25" s="9" t="s">
        <v>82</v>
      </c>
      <c r="D25" s="9" t="str">
        <f>Table_0__3[[#This Row],[Book]]</f>
        <v>Where the Crawdads Sing</v>
      </c>
      <c r="E25" s="8">
        <f>Table_0__3[[#This Row],[Date]]</f>
        <v>44363</v>
      </c>
      <c r="F25" s="9" t="s">
        <v>217</v>
      </c>
      <c r="G25" s="14">
        <v>18</v>
      </c>
    </row>
    <row r="26" spans="1:9" x14ac:dyDescent="0.35">
      <c r="A26" s="8">
        <v>44370</v>
      </c>
      <c r="B26" s="9" t="s">
        <v>81</v>
      </c>
      <c r="C26" s="9" t="s">
        <v>82</v>
      </c>
      <c r="D26" s="9" t="str">
        <f>Table_0__3[[#This Row],[Book]]</f>
        <v>Where the Crawdads Sing</v>
      </c>
      <c r="E26" s="8">
        <f>Table_0__3[[#This Row],[Date]]</f>
        <v>44370</v>
      </c>
      <c r="F26" s="9" t="s">
        <v>217</v>
      </c>
      <c r="G26" s="14">
        <v>18</v>
      </c>
    </row>
    <row r="27" spans="1:9" x14ac:dyDescent="0.35">
      <c r="A27" s="8">
        <v>44377</v>
      </c>
      <c r="B27" s="9" t="s">
        <v>81</v>
      </c>
      <c r="C27" s="9" t="s">
        <v>82</v>
      </c>
      <c r="D27" s="9" t="str">
        <f>Table_0__3[[#This Row],[Book]]</f>
        <v>Where the Crawdads Sing</v>
      </c>
      <c r="E27" s="8">
        <f>Table_0__3[[#This Row],[Date]]</f>
        <v>44377</v>
      </c>
      <c r="F27" s="9" t="s">
        <v>217</v>
      </c>
      <c r="G27" s="14">
        <v>18</v>
      </c>
    </row>
    <row r="28" spans="1:9" x14ac:dyDescent="0.35">
      <c r="A28" s="8">
        <v>44384</v>
      </c>
      <c r="B28" s="9" t="s">
        <v>89</v>
      </c>
      <c r="C28" s="9" t="s">
        <v>90</v>
      </c>
      <c r="D28" s="9" t="str">
        <f>Table_0__3[[#This Row],[Book]]</f>
        <v>Summer of '69</v>
      </c>
      <c r="E28" s="8">
        <f>Table_0__3[[#This Row],[Date]]</f>
        <v>44384</v>
      </c>
      <c r="F28" s="9" t="s">
        <v>238</v>
      </c>
      <c r="G28" s="14">
        <v>9.99</v>
      </c>
    </row>
    <row r="29" spans="1:9" x14ac:dyDescent="0.35">
      <c r="A29" s="8">
        <v>44391</v>
      </c>
      <c r="B29" s="9" t="s">
        <v>81</v>
      </c>
      <c r="C29" s="9" t="s">
        <v>82</v>
      </c>
      <c r="D29" s="9" t="str">
        <f>Table_0__3[[#This Row],[Book]]</f>
        <v>Where the Crawdads Sing</v>
      </c>
      <c r="E29" s="8">
        <f>Table_0__3[[#This Row],[Date]]</f>
        <v>44391</v>
      </c>
      <c r="F29" s="9" t="s">
        <v>217</v>
      </c>
      <c r="G29" s="14">
        <v>18</v>
      </c>
    </row>
    <row r="30" spans="1:9" x14ac:dyDescent="0.35">
      <c r="A30" s="8">
        <v>44398</v>
      </c>
      <c r="B30" s="9" t="s">
        <v>81</v>
      </c>
      <c r="C30" s="9" t="s">
        <v>82</v>
      </c>
      <c r="D30" s="9" t="str">
        <f>Table_0__3[[#This Row],[Book]]</f>
        <v>Where the Crawdads Sing</v>
      </c>
      <c r="E30" s="8">
        <f>Table_0__3[[#This Row],[Date]]</f>
        <v>44398</v>
      </c>
      <c r="F30" s="9" t="s">
        <v>217</v>
      </c>
      <c r="G30" s="14">
        <v>18</v>
      </c>
    </row>
    <row r="31" spans="1:9" x14ac:dyDescent="0.35">
      <c r="A31" s="8">
        <v>44405</v>
      </c>
      <c r="B31" s="9" t="s">
        <v>91</v>
      </c>
      <c r="C31" s="9" t="s">
        <v>43</v>
      </c>
      <c r="D31" s="9" t="str">
        <f>Table_0__3[[#This Row],[Book]]</f>
        <v>Under Currents</v>
      </c>
      <c r="E31" s="8">
        <f>Table_0__3[[#This Row],[Date]]</f>
        <v>44405</v>
      </c>
      <c r="F31" s="9" t="s">
        <v>217</v>
      </c>
      <c r="G31" s="14">
        <v>8.99</v>
      </c>
    </row>
    <row r="32" spans="1:9" x14ac:dyDescent="0.35">
      <c r="A32" s="8">
        <v>44412</v>
      </c>
      <c r="B32" s="9" t="s">
        <v>92</v>
      </c>
      <c r="C32" s="9" t="s">
        <v>47</v>
      </c>
      <c r="D32" s="9" t="str">
        <f>Table_0__3[[#This Row],[Book]]</f>
        <v>The New Girl</v>
      </c>
      <c r="E32" s="8">
        <f>Table_0__3[[#This Row],[Date]]</f>
        <v>44412</v>
      </c>
      <c r="F32" s="9" t="s">
        <v>239</v>
      </c>
      <c r="G32" s="14">
        <v>9.99</v>
      </c>
    </row>
    <row r="33" spans="1:7" x14ac:dyDescent="0.35">
      <c r="A33" s="8">
        <v>44419</v>
      </c>
      <c r="B33" s="9" t="s">
        <v>93</v>
      </c>
      <c r="C33" s="9" t="s">
        <v>34</v>
      </c>
      <c r="D33" s="9" t="str">
        <f>Table_0__3[[#This Row],[Book]]</f>
        <v>One Good Deed</v>
      </c>
      <c r="E33" s="8">
        <f>Table_0__3[[#This Row],[Date]]</f>
        <v>44419</v>
      </c>
      <c r="F33" s="9" t="s">
        <v>240</v>
      </c>
      <c r="G33" s="14">
        <v>9.99</v>
      </c>
    </row>
    <row r="34" spans="1:7" x14ac:dyDescent="0.35">
      <c r="A34" s="8">
        <v>44426</v>
      </c>
      <c r="B34" s="9" t="s">
        <v>81</v>
      </c>
      <c r="C34" s="9" t="s">
        <v>82</v>
      </c>
      <c r="D34" s="9" t="str">
        <f>Table_0__3[[#This Row],[Book]]</f>
        <v>Where the Crawdads Sing</v>
      </c>
      <c r="E34" s="8">
        <f>Table_0__3[[#This Row],[Date]]</f>
        <v>44426</v>
      </c>
      <c r="F34" s="9" t="s">
        <v>217</v>
      </c>
      <c r="G34" s="14">
        <v>18</v>
      </c>
    </row>
    <row r="35" spans="1:7" x14ac:dyDescent="0.35">
      <c r="A35" s="8">
        <v>44433</v>
      </c>
      <c r="B35" s="9" t="s">
        <v>81</v>
      </c>
      <c r="C35" s="9" t="s">
        <v>82</v>
      </c>
      <c r="D35" s="9" t="str">
        <f>Table_0__3[[#This Row],[Book]]</f>
        <v>Where the Crawdads Sing</v>
      </c>
      <c r="E35" s="8">
        <f>Table_0__3[[#This Row],[Date]]</f>
        <v>44433</v>
      </c>
      <c r="F35" s="9" t="s">
        <v>217</v>
      </c>
      <c r="G35" s="14">
        <v>18</v>
      </c>
    </row>
    <row r="36" spans="1:7" x14ac:dyDescent="0.35">
      <c r="A36" s="8">
        <v>44440</v>
      </c>
      <c r="B36" s="9" t="s">
        <v>81</v>
      </c>
      <c r="C36" s="9" t="s">
        <v>82</v>
      </c>
      <c r="D36" s="9" t="str">
        <f>Table_0__3[[#This Row],[Book]]</f>
        <v>Where the Crawdads Sing</v>
      </c>
      <c r="E36" s="8">
        <f>Table_0__3[[#This Row],[Date]]</f>
        <v>44440</v>
      </c>
      <c r="F36" s="9" t="s">
        <v>217</v>
      </c>
      <c r="G36" s="14">
        <v>18</v>
      </c>
    </row>
    <row r="37" spans="1:7" x14ac:dyDescent="0.35">
      <c r="A37" s="8">
        <v>44447</v>
      </c>
      <c r="B37" s="9" t="s">
        <v>81</v>
      </c>
      <c r="C37" s="9" t="s">
        <v>82</v>
      </c>
      <c r="D37" s="9" t="str">
        <f>Table_0__3[[#This Row],[Book]]</f>
        <v>Where the Crawdads Sing</v>
      </c>
      <c r="E37" s="8">
        <f>Table_0__3[[#This Row],[Date]]</f>
        <v>44447</v>
      </c>
      <c r="F37" s="9" t="s">
        <v>217</v>
      </c>
      <c r="G37" s="14">
        <v>18</v>
      </c>
    </row>
    <row r="38" spans="1:7" x14ac:dyDescent="0.35">
      <c r="A38" s="8">
        <v>44454</v>
      </c>
      <c r="B38" s="9" t="s">
        <v>94</v>
      </c>
      <c r="C38" s="9" t="s">
        <v>76</v>
      </c>
      <c r="D38" s="9" t="str">
        <f>Table_0__3[[#This Row],[Book]]</f>
        <v>A Better Man</v>
      </c>
      <c r="E38" s="8">
        <f>Table_0__3[[#This Row],[Date]]</f>
        <v>44454</v>
      </c>
      <c r="F38" s="9" t="s">
        <v>234</v>
      </c>
      <c r="G38" s="14">
        <v>9.99</v>
      </c>
    </row>
    <row r="39" spans="1:7" x14ac:dyDescent="0.35">
      <c r="A39" s="8">
        <v>44461</v>
      </c>
      <c r="B39" s="9" t="s">
        <v>95</v>
      </c>
      <c r="C39" s="9" t="s">
        <v>84</v>
      </c>
      <c r="D39" s="9" t="str">
        <f>Table_0__3[[#This Row],[Book]]</f>
        <v>Vendetta in Death</v>
      </c>
      <c r="E39" s="8">
        <f>Table_0__3[[#This Row],[Date]]</f>
        <v>44461</v>
      </c>
      <c r="F39" s="9" t="s">
        <v>241</v>
      </c>
      <c r="G39" s="14">
        <v>8.99</v>
      </c>
    </row>
    <row r="40" spans="1:7" x14ac:dyDescent="0.35">
      <c r="A40" s="8">
        <v>44468</v>
      </c>
      <c r="B40" s="9" t="s">
        <v>96</v>
      </c>
      <c r="C40" s="9" t="s">
        <v>41</v>
      </c>
      <c r="D40" s="9" t="str">
        <f>Table_0__3[[#This Row],[Book]]</f>
        <v>The Institute</v>
      </c>
      <c r="E40" s="8">
        <f>Table_0__3[[#This Row],[Date]]</f>
        <v>44468</v>
      </c>
      <c r="F40" s="9" t="s">
        <v>242</v>
      </c>
      <c r="G40" s="14">
        <v>10.99</v>
      </c>
    </row>
    <row r="41" spans="1:7" x14ac:dyDescent="0.35">
      <c r="A41" s="8">
        <v>44475</v>
      </c>
      <c r="B41" s="9" t="s">
        <v>96</v>
      </c>
      <c r="C41" s="9" t="s">
        <v>41</v>
      </c>
      <c r="D41" s="9" t="str">
        <f>Table_0__3[[#This Row],[Book]]</f>
        <v>The Institute</v>
      </c>
      <c r="E41" s="8">
        <f>Table_0__3[[#This Row],[Date]]</f>
        <v>44475</v>
      </c>
      <c r="F41" s="9" t="s">
        <v>242</v>
      </c>
      <c r="G41" s="14">
        <v>10.99</v>
      </c>
    </row>
    <row r="42" spans="1:7" x14ac:dyDescent="0.35">
      <c r="A42" s="8">
        <v>44482</v>
      </c>
      <c r="B42" s="9" t="s">
        <v>97</v>
      </c>
      <c r="C42" s="9" t="s">
        <v>98</v>
      </c>
      <c r="D42" s="9" t="str">
        <f>Table_0__3[[#This Row],[Book]]</f>
        <v>The Water Dancer</v>
      </c>
      <c r="E42" s="8">
        <f>Table_0__3[[#This Row],[Date]]</f>
        <v>44482</v>
      </c>
      <c r="F42" s="9" t="s">
        <v>238</v>
      </c>
      <c r="G42" s="14">
        <v>18</v>
      </c>
    </row>
    <row r="43" spans="1:7" x14ac:dyDescent="0.35">
      <c r="A43" s="8">
        <v>44489</v>
      </c>
      <c r="B43" s="9" t="s">
        <v>99</v>
      </c>
      <c r="C43" s="9" t="s">
        <v>36</v>
      </c>
      <c r="D43" s="9" t="str">
        <f>Table_0__3[[#This Row],[Book]]</f>
        <v>Bloody Genius</v>
      </c>
      <c r="E43" s="8">
        <f>Table_0__3[[#This Row],[Date]]</f>
        <v>44489</v>
      </c>
      <c r="F43" s="9" t="s">
        <v>234</v>
      </c>
      <c r="G43" s="14">
        <v>8.49</v>
      </c>
    </row>
    <row r="44" spans="1:7" x14ac:dyDescent="0.35">
      <c r="A44" s="8">
        <v>44496</v>
      </c>
      <c r="B44" s="9" t="s">
        <v>100</v>
      </c>
      <c r="C44" s="9" t="s">
        <v>101</v>
      </c>
      <c r="D44" s="9" t="str">
        <f>Table_0__3[[#This Row],[Book]]</f>
        <v>The 19th Christmas</v>
      </c>
      <c r="E44" s="8">
        <f>Table_0__3[[#This Row],[Date]]</f>
        <v>44496</v>
      </c>
      <c r="F44" s="9" t="s">
        <v>237</v>
      </c>
      <c r="G44" s="14">
        <v>16.989999999999998</v>
      </c>
    </row>
    <row r="45" spans="1:7" x14ac:dyDescent="0.35">
      <c r="A45" s="8">
        <v>44503</v>
      </c>
      <c r="B45" s="9" t="s">
        <v>102</v>
      </c>
      <c r="C45" s="9" t="s">
        <v>66</v>
      </c>
      <c r="D45" s="9" t="str">
        <f>Table_0__3[[#This Row],[Book]]</f>
        <v>The Guardians</v>
      </c>
      <c r="E45" s="8">
        <f>Table_0__3[[#This Row],[Date]]</f>
        <v>44503</v>
      </c>
      <c r="F45" s="9" t="s">
        <v>214</v>
      </c>
      <c r="G45" s="14">
        <v>14.78</v>
      </c>
    </row>
    <row r="46" spans="1:7" x14ac:dyDescent="0.35">
      <c r="A46" s="8">
        <v>44510</v>
      </c>
      <c r="B46" s="9" t="s">
        <v>103</v>
      </c>
      <c r="C46" s="9" t="s">
        <v>68</v>
      </c>
      <c r="D46" s="9" t="str">
        <f>Table_0__3[[#This Row],[Book]]</f>
        <v>The Night Fire</v>
      </c>
      <c r="E46" s="8">
        <f>Table_0__3[[#This Row],[Date]]</f>
        <v>44510</v>
      </c>
      <c r="F46" s="9" t="s">
        <v>237</v>
      </c>
      <c r="G46" s="14">
        <v>9.99</v>
      </c>
    </row>
    <row r="47" spans="1:7" x14ac:dyDescent="0.35">
      <c r="A47" s="8">
        <v>44517</v>
      </c>
      <c r="B47" s="9" t="s">
        <v>104</v>
      </c>
      <c r="C47" s="9" t="s">
        <v>70</v>
      </c>
      <c r="D47" s="9" t="str">
        <f>Table_0__3[[#This Row],[Book]]</f>
        <v>Blue Moon</v>
      </c>
      <c r="E47" s="8">
        <f>Table_0__3[[#This Row],[Date]]</f>
        <v>44517</v>
      </c>
      <c r="F47" s="9" t="s">
        <v>233</v>
      </c>
      <c r="G47" s="14">
        <v>17</v>
      </c>
    </row>
    <row r="48" spans="1:7" x14ac:dyDescent="0.35">
      <c r="A48" s="8">
        <v>44524</v>
      </c>
      <c r="B48" s="9" t="s">
        <v>104</v>
      </c>
      <c r="C48" s="9" t="s">
        <v>70</v>
      </c>
      <c r="D48" s="9" t="str">
        <f>Table_0__3[[#This Row],[Book]]</f>
        <v>Blue Moon</v>
      </c>
      <c r="E48" s="8">
        <f>Table_0__3[[#This Row],[Date]]</f>
        <v>44524</v>
      </c>
      <c r="F48" s="9" t="s">
        <v>233</v>
      </c>
      <c r="G48" s="14">
        <v>17</v>
      </c>
    </row>
    <row r="49" spans="1:7" x14ac:dyDescent="0.35">
      <c r="A49" s="8">
        <v>44531</v>
      </c>
      <c r="B49" s="9" t="s">
        <v>105</v>
      </c>
      <c r="C49" s="9" t="s">
        <v>72</v>
      </c>
      <c r="D49" s="9" t="str">
        <f>Table_0__3[[#This Row],[Book]]</f>
        <v>Twisted Twenty-Six</v>
      </c>
      <c r="E49" s="8">
        <f>Table_0__3[[#This Row],[Date]]</f>
        <v>44531</v>
      </c>
      <c r="F49" s="9" t="s">
        <v>217</v>
      </c>
      <c r="G49" s="14">
        <v>16.82</v>
      </c>
    </row>
    <row r="50" spans="1:7" x14ac:dyDescent="0.35">
      <c r="A50" s="8">
        <v>44538</v>
      </c>
      <c r="B50" s="9" t="s">
        <v>106</v>
      </c>
      <c r="C50" s="9" t="s">
        <v>34</v>
      </c>
      <c r="D50" s="9" t="str">
        <f>Table_0__3[[#This Row],[Book]]</f>
        <v>A Minute to Midnight</v>
      </c>
      <c r="E50" s="8">
        <f>Table_0__3[[#This Row],[Date]]</f>
        <v>44538</v>
      </c>
      <c r="F50" s="9" t="s">
        <v>221</v>
      </c>
      <c r="G50" s="14">
        <v>9.99</v>
      </c>
    </row>
    <row r="51" spans="1:7" x14ac:dyDescent="0.35">
      <c r="A51" s="8">
        <v>44545</v>
      </c>
      <c r="B51" s="9" t="s">
        <v>107</v>
      </c>
      <c r="C51" s="9" t="s">
        <v>43</v>
      </c>
      <c r="D51" s="9" t="str">
        <f>Table_0__3[[#This Row],[Book]]</f>
        <v>The Rise of Magicks</v>
      </c>
      <c r="E51" s="8">
        <f>Table_0__3[[#This Row],[Date]]</f>
        <v>44545</v>
      </c>
      <c r="F51" s="9" t="s">
        <v>243</v>
      </c>
      <c r="G51" s="14">
        <v>15.99</v>
      </c>
    </row>
    <row r="52" spans="1:7" x14ac:dyDescent="0.35">
      <c r="A52" s="8">
        <v>44552</v>
      </c>
      <c r="B52" s="9" t="s">
        <v>102</v>
      </c>
      <c r="C52" s="9" t="s">
        <v>66</v>
      </c>
      <c r="D52" s="9" t="str">
        <f>Table_0__3[[#This Row],[Book]]</f>
        <v>The Guardians</v>
      </c>
      <c r="E52" s="8">
        <f>Table_0__3[[#This Row],[Date]]</f>
        <v>44552</v>
      </c>
      <c r="F52" s="9" t="s">
        <v>214</v>
      </c>
      <c r="G52" s="14">
        <v>14.78</v>
      </c>
    </row>
    <row r="53" spans="1:7" x14ac:dyDescent="0.35">
      <c r="A53" s="8">
        <v>44559</v>
      </c>
      <c r="B53" s="9" t="s">
        <v>108</v>
      </c>
      <c r="C53" s="9" t="s">
        <v>82</v>
      </c>
      <c r="D53" s="9" t="str">
        <f>Table_0__3[[#This Row],[Book]]</f>
        <v>Where The Crawdads Sing</v>
      </c>
      <c r="E53" s="8">
        <f>Table_0__3[[#This Row],[Date]]</f>
        <v>44559</v>
      </c>
      <c r="F53" s="9" t="s">
        <v>217</v>
      </c>
      <c r="G53" s="14">
        <v>18</v>
      </c>
    </row>
  </sheetData>
  <phoneticPr fontId="17"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50F15-C940-471B-9025-151F55FCEE68}">
  <sheetPr codeName="Sheet6"/>
  <dimension ref="A1:I53"/>
  <sheetViews>
    <sheetView topLeftCell="C48" workbookViewId="0">
      <selection activeCell="H7" sqref="H7"/>
    </sheetView>
  </sheetViews>
  <sheetFormatPr defaultRowHeight="14.5" x14ac:dyDescent="0.35"/>
  <cols>
    <col min="1" max="1" width="10.453125" bestFit="1" customWidth="1"/>
    <col min="2" max="2" width="25.54296875" bestFit="1" customWidth="1"/>
    <col min="3" max="3" width="32.26953125" bestFit="1" customWidth="1"/>
    <col min="4" max="4" width="32.26953125" customWidth="1"/>
    <col min="5" max="5" width="10.54296875" bestFit="1" customWidth="1"/>
    <col min="6" max="6" width="22.08984375" bestFit="1" customWidth="1"/>
    <col min="7" max="7" width="10.54296875" customWidth="1"/>
    <col min="9" max="9" width="32.26953125" bestFit="1" customWidth="1"/>
  </cols>
  <sheetData>
    <row r="1" spans="1:9" x14ac:dyDescent="0.35">
      <c r="A1" t="s">
        <v>4</v>
      </c>
      <c r="B1" t="s">
        <v>5</v>
      </c>
      <c r="C1" t="s">
        <v>6</v>
      </c>
      <c r="D1" t="s">
        <v>208</v>
      </c>
      <c r="E1" t="s">
        <v>209</v>
      </c>
      <c r="F1" t="s">
        <v>212</v>
      </c>
      <c r="G1" t="s">
        <v>213</v>
      </c>
    </row>
    <row r="2" spans="1:9" x14ac:dyDescent="0.35">
      <c r="A2" s="8">
        <v>43835</v>
      </c>
      <c r="B2" s="9" t="s">
        <v>81</v>
      </c>
      <c r="C2" s="9" t="s">
        <v>82</v>
      </c>
      <c r="D2" s="9" t="str">
        <f>Table_0__2[[#This Row],[Book]]</f>
        <v>Where the Crawdads Sing</v>
      </c>
      <c r="E2" s="8">
        <f>Table_0__2[[#This Row],[Date]]</f>
        <v>43835</v>
      </c>
      <c r="F2" s="9" t="s">
        <v>217</v>
      </c>
      <c r="G2" s="14">
        <v>18</v>
      </c>
      <c r="I2" s="10" t="s">
        <v>82</v>
      </c>
    </row>
    <row r="3" spans="1:9" x14ac:dyDescent="0.35">
      <c r="A3" s="8">
        <v>43842</v>
      </c>
      <c r="B3" s="9" t="s">
        <v>81</v>
      </c>
      <c r="C3" s="9" t="s">
        <v>82</v>
      </c>
      <c r="D3" s="9" t="str">
        <f>Table_0__2[[#This Row],[Book]]</f>
        <v>Where the Crawdads Sing</v>
      </c>
      <c r="E3" s="8">
        <f>Table_0__2[[#This Row],[Date]]</f>
        <v>43842</v>
      </c>
      <c r="F3" s="9" t="s">
        <v>217</v>
      </c>
      <c r="G3" s="14">
        <v>18</v>
      </c>
      <c r="I3" s="11" t="s">
        <v>110</v>
      </c>
    </row>
    <row r="4" spans="1:9" x14ac:dyDescent="0.35">
      <c r="A4" s="8">
        <v>43849</v>
      </c>
      <c r="B4" s="9" t="s">
        <v>81</v>
      </c>
      <c r="C4" s="9" t="s">
        <v>82</v>
      </c>
      <c r="D4" s="9" t="str">
        <f>Table_0__2[[#This Row],[Book]]</f>
        <v>Where the Crawdads Sing</v>
      </c>
      <c r="E4" s="8">
        <f>Table_0__2[[#This Row],[Date]]</f>
        <v>43849</v>
      </c>
      <c r="F4" s="9" t="s">
        <v>217</v>
      </c>
      <c r="G4" s="14">
        <v>18</v>
      </c>
      <c r="I4" s="11" t="s">
        <v>18</v>
      </c>
    </row>
    <row r="5" spans="1:9" x14ac:dyDescent="0.35">
      <c r="A5" s="8">
        <v>43856</v>
      </c>
      <c r="B5" s="9" t="s">
        <v>81</v>
      </c>
      <c r="C5" s="9" t="s">
        <v>82</v>
      </c>
      <c r="D5" s="9" t="str">
        <f>Table_0__2[[#This Row],[Book]]</f>
        <v>Where the Crawdads Sing</v>
      </c>
      <c r="E5" s="8">
        <f>Table_0__2[[#This Row],[Date]]</f>
        <v>43856</v>
      </c>
      <c r="F5" s="9" t="s">
        <v>217</v>
      </c>
      <c r="G5" s="14">
        <v>18</v>
      </c>
      <c r="I5" s="11" t="s">
        <v>113</v>
      </c>
    </row>
    <row r="6" spans="1:9" x14ac:dyDescent="0.35">
      <c r="A6" s="8">
        <v>43863</v>
      </c>
      <c r="B6" s="9" t="s">
        <v>81</v>
      </c>
      <c r="C6" s="9" t="s">
        <v>82</v>
      </c>
      <c r="D6" s="9" t="str">
        <f>Table_0__2[[#This Row],[Book]]</f>
        <v>Where the Crawdads Sing</v>
      </c>
      <c r="E6" s="8">
        <f>Table_0__2[[#This Row],[Date]]</f>
        <v>43863</v>
      </c>
      <c r="F6" s="9" t="s">
        <v>217</v>
      </c>
      <c r="G6" s="14">
        <v>18</v>
      </c>
      <c r="I6" s="10" t="s">
        <v>195</v>
      </c>
    </row>
    <row r="7" spans="1:9" x14ac:dyDescent="0.35">
      <c r="A7" s="8">
        <v>43870</v>
      </c>
      <c r="B7" s="9" t="s">
        <v>109</v>
      </c>
      <c r="C7" s="9" t="s">
        <v>110</v>
      </c>
      <c r="D7" s="9" t="str">
        <f>Table_0__2[[#This Row],[Book]]</f>
        <v>American Dirt</v>
      </c>
      <c r="E7" s="8">
        <f>Table_0__2[[#This Row],[Date]]</f>
        <v>43870</v>
      </c>
      <c r="F7" s="9" t="s">
        <v>214</v>
      </c>
      <c r="G7" s="14">
        <v>17.989999999999998</v>
      </c>
      <c r="I7" s="11" t="s">
        <v>117</v>
      </c>
    </row>
    <row r="8" spans="1:9" x14ac:dyDescent="0.35">
      <c r="A8" s="8">
        <v>43877</v>
      </c>
      <c r="B8" s="9" t="s">
        <v>109</v>
      </c>
      <c r="C8" s="9" t="s">
        <v>110</v>
      </c>
      <c r="D8" s="9" t="str">
        <f>Table_0__2[[#This Row],[Book]]</f>
        <v>American Dirt</v>
      </c>
      <c r="E8" s="8">
        <f>Table_0__2[[#This Row],[Date]]</f>
        <v>43877</v>
      </c>
      <c r="F8" s="9" t="s">
        <v>214</v>
      </c>
      <c r="G8" s="14">
        <v>17.989999999999998</v>
      </c>
      <c r="I8" s="10" t="s">
        <v>119</v>
      </c>
    </row>
    <row r="9" spans="1:9" x14ac:dyDescent="0.35">
      <c r="A9" s="8">
        <v>43884</v>
      </c>
      <c r="B9" s="9" t="s">
        <v>111</v>
      </c>
      <c r="C9" s="9" t="s">
        <v>18</v>
      </c>
      <c r="D9" s="9" t="str">
        <f>Table_0__2[[#This Row],[Book]]</f>
        <v>Golden in Death</v>
      </c>
      <c r="E9" s="8">
        <f>Table_0__2[[#This Row],[Date]]</f>
        <v>43884</v>
      </c>
      <c r="F9" s="9" t="s">
        <v>224</v>
      </c>
      <c r="G9" s="14">
        <v>8.99</v>
      </c>
      <c r="I9" s="11" t="s">
        <v>121</v>
      </c>
    </row>
    <row r="10" spans="1:9" x14ac:dyDescent="0.35">
      <c r="A10" s="8">
        <v>43891</v>
      </c>
      <c r="B10" s="9" t="s">
        <v>109</v>
      </c>
      <c r="C10" s="9" t="s">
        <v>110</v>
      </c>
      <c r="D10" s="9" t="str">
        <f>Table_0__2[[#This Row],[Book]]</f>
        <v>American Dirt</v>
      </c>
      <c r="E10" s="8">
        <f>Table_0__2[[#This Row],[Date]]</f>
        <v>43891</v>
      </c>
      <c r="F10" s="9" t="s">
        <v>214</v>
      </c>
      <c r="G10" s="14">
        <v>17.989999999999998</v>
      </c>
      <c r="I10" s="10" t="s">
        <v>123</v>
      </c>
    </row>
    <row r="11" spans="1:9" x14ac:dyDescent="0.35">
      <c r="A11" s="8">
        <v>43898</v>
      </c>
      <c r="B11" s="9" t="s">
        <v>112</v>
      </c>
      <c r="C11" s="9" t="s">
        <v>113</v>
      </c>
      <c r="D11" s="9" t="str">
        <f>Table_0__2[[#This Row],[Book]]</f>
        <v>One Minute Out</v>
      </c>
      <c r="E11" s="8">
        <f>Table_0__2[[#This Row],[Date]]</f>
        <v>43898</v>
      </c>
      <c r="F11" s="9" t="s">
        <v>244</v>
      </c>
      <c r="G11" s="14">
        <v>14.68</v>
      </c>
      <c r="I11" s="11" t="s">
        <v>36</v>
      </c>
    </row>
    <row r="12" spans="1:9" x14ac:dyDescent="0.35">
      <c r="A12" s="8">
        <v>43905</v>
      </c>
      <c r="B12" s="9" t="s">
        <v>114</v>
      </c>
      <c r="C12" s="9" t="s">
        <v>195</v>
      </c>
      <c r="D12" s="9" t="str">
        <f>Table_0__2[[#This Row],[Book]]</f>
        <v>Blindside</v>
      </c>
      <c r="E12" s="8">
        <f>Table_0__2[[#This Row],[Date]]</f>
        <v>43905</v>
      </c>
      <c r="F12" s="9" t="s">
        <v>224</v>
      </c>
      <c r="G12" s="14">
        <v>16.989999999999998</v>
      </c>
      <c r="I12" s="10" t="s">
        <v>34</v>
      </c>
    </row>
    <row r="13" spans="1:9" x14ac:dyDescent="0.35">
      <c r="A13" s="8">
        <v>43912</v>
      </c>
      <c r="B13" s="9" t="s">
        <v>116</v>
      </c>
      <c r="C13" s="9" t="s">
        <v>117</v>
      </c>
      <c r="D13" s="9" t="str">
        <f>Table_0__2[[#This Row],[Book]]</f>
        <v>House of Earth and Blood</v>
      </c>
      <c r="E13" s="8">
        <f>Table_0__2[[#This Row],[Date]]</f>
        <v>43912</v>
      </c>
      <c r="F13" s="9" t="s">
        <v>233</v>
      </c>
      <c r="G13" s="14">
        <v>18</v>
      </c>
      <c r="I13" s="11" t="s">
        <v>66</v>
      </c>
    </row>
    <row r="14" spans="1:9" x14ac:dyDescent="0.35">
      <c r="A14" s="8">
        <v>43919</v>
      </c>
      <c r="B14" s="9" t="s">
        <v>118</v>
      </c>
      <c r="C14" s="9" t="s">
        <v>119</v>
      </c>
      <c r="D14" s="9" t="str">
        <f>Table_0__2[[#This Row],[Book]]</f>
        <v>The Mirror and the Light</v>
      </c>
      <c r="E14" s="8">
        <f>Table_0__2[[#This Row],[Date]]</f>
        <v>43919</v>
      </c>
      <c r="F14" s="9" t="s">
        <v>238</v>
      </c>
      <c r="G14" s="14">
        <v>18</v>
      </c>
      <c r="I14" s="10" t="s">
        <v>101</v>
      </c>
    </row>
    <row r="15" spans="1:9" x14ac:dyDescent="0.35">
      <c r="A15" s="8">
        <v>43926</v>
      </c>
      <c r="B15" s="9" t="s">
        <v>120</v>
      </c>
      <c r="C15" s="9" t="s">
        <v>121</v>
      </c>
      <c r="D15" s="9" t="str">
        <f>Table_0__2[[#This Row],[Book]]</f>
        <v>The Boy from the Woods</v>
      </c>
      <c r="E15" s="8">
        <f>Table_0__2[[#This Row],[Date]]</f>
        <v>43926</v>
      </c>
      <c r="F15" s="9" t="s">
        <v>224</v>
      </c>
      <c r="G15" s="14">
        <v>8.99</v>
      </c>
      <c r="I15" s="11" t="s">
        <v>43</v>
      </c>
    </row>
    <row r="16" spans="1:9" x14ac:dyDescent="0.35">
      <c r="A16" s="8">
        <v>43933</v>
      </c>
      <c r="B16" s="9" t="s">
        <v>122</v>
      </c>
      <c r="C16" s="9" t="s">
        <v>123</v>
      </c>
      <c r="D16" s="9" t="str">
        <f>Table_0__2[[#This Row],[Book]]</f>
        <v>Little Fires Everywhere</v>
      </c>
      <c r="E16" s="8">
        <f>Table_0__2[[#This Row],[Date]]</f>
        <v>43933</v>
      </c>
      <c r="F16" s="9" t="s">
        <v>245</v>
      </c>
      <c r="G16" s="14">
        <v>9.99</v>
      </c>
      <c r="I16" s="10" t="s">
        <v>130</v>
      </c>
    </row>
    <row r="17" spans="1:9" x14ac:dyDescent="0.35">
      <c r="A17" s="8">
        <v>43940</v>
      </c>
      <c r="B17" s="9" t="s">
        <v>122</v>
      </c>
      <c r="C17" s="9" t="s">
        <v>123</v>
      </c>
      <c r="D17" s="9" t="str">
        <f>Table_0__2[[#This Row],[Book]]</f>
        <v>Little Fires Everywhere</v>
      </c>
      <c r="E17" s="8">
        <f>Table_0__2[[#This Row],[Date]]</f>
        <v>43940</v>
      </c>
      <c r="F17" s="9" t="s">
        <v>245</v>
      </c>
      <c r="G17" s="14">
        <v>9.99</v>
      </c>
      <c r="I17" s="11" t="s">
        <v>197</v>
      </c>
    </row>
    <row r="18" spans="1:9" x14ac:dyDescent="0.35">
      <c r="A18" s="8">
        <v>43947</v>
      </c>
      <c r="B18" s="9" t="s">
        <v>122</v>
      </c>
      <c r="C18" s="9" t="s">
        <v>123</v>
      </c>
      <c r="D18" s="9" t="str">
        <f>Table_0__2[[#This Row],[Book]]</f>
        <v>Little Fires Everywhere</v>
      </c>
      <c r="E18" s="8">
        <f>Table_0__2[[#This Row],[Date]]</f>
        <v>43947</v>
      </c>
      <c r="F18" s="9" t="s">
        <v>245</v>
      </c>
      <c r="G18" s="14">
        <v>9.99</v>
      </c>
      <c r="I18" s="10" t="s">
        <v>90</v>
      </c>
    </row>
    <row r="19" spans="1:9" x14ac:dyDescent="0.35">
      <c r="A19" s="8">
        <v>43954</v>
      </c>
      <c r="B19" s="9" t="s">
        <v>124</v>
      </c>
      <c r="C19" s="9" t="s">
        <v>36</v>
      </c>
      <c r="D19" s="9" t="str">
        <f>Table_0__2[[#This Row],[Book]]</f>
        <v>Masked Prey</v>
      </c>
      <c r="E19" s="8">
        <f>Table_0__2[[#This Row],[Date]]</f>
        <v>43954</v>
      </c>
      <c r="F19" s="9" t="s">
        <v>234</v>
      </c>
      <c r="G19" s="14">
        <v>8.99</v>
      </c>
      <c r="I19" s="10" t="s">
        <v>47</v>
      </c>
    </row>
    <row r="20" spans="1:9" x14ac:dyDescent="0.35">
      <c r="A20" s="8">
        <v>43961</v>
      </c>
      <c r="B20" s="9" t="s">
        <v>125</v>
      </c>
      <c r="C20" s="9" t="s">
        <v>34</v>
      </c>
      <c r="D20" s="9" t="str">
        <f>Table_0__2[[#This Row],[Book]]</f>
        <v>Walk The Wire</v>
      </c>
      <c r="E20" s="8">
        <f>Table_0__2[[#This Row],[Date]]</f>
        <v>43961</v>
      </c>
      <c r="F20" s="9" t="s">
        <v>234</v>
      </c>
      <c r="G20" s="14">
        <v>16.989999999999998</v>
      </c>
      <c r="I20" s="11" t="s">
        <v>136</v>
      </c>
    </row>
    <row r="21" spans="1:9" x14ac:dyDescent="0.35">
      <c r="A21" s="8">
        <v>43968</v>
      </c>
      <c r="B21" s="9" t="s">
        <v>126</v>
      </c>
      <c r="C21" s="9" t="s">
        <v>66</v>
      </c>
      <c r="D21" s="9" t="str">
        <f>Table_0__2[[#This Row],[Book]]</f>
        <v>Camino Winds</v>
      </c>
      <c r="E21" s="8">
        <f>Table_0__2[[#This Row],[Date]]</f>
        <v>43968</v>
      </c>
      <c r="F21" s="9" t="s">
        <v>224</v>
      </c>
      <c r="G21" s="14">
        <v>9.99</v>
      </c>
      <c r="I21" s="10" t="s">
        <v>138</v>
      </c>
    </row>
    <row r="22" spans="1:9" x14ac:dyDescent="0.35">
      <c r="A22" s="8">
        <v>43975</v>
      </c>
      <c r="B22" s="9" t="s">
        <v>127</v>
      </c>
      <c r="C22" s="9" t="s">
        <v>101</v>
      </c>
      <c r="D22" s="9" t="str">
        <f>Table_0__2[[#This Row],[Book]]</f>
        <v>The 20th Victim</v>
      </c>
      <c r="E22" s="8">
        <f>Table_0__2[[#This Row],[Date]]</f>
        <v>43975</v>
      </c>
      <c r="F22" s="9" t="s">
        <v>224</v>
      </c>
      <c r="G22" s="14">
        <v>16.989999999999998</v>
      </c>
      <c r="I22" s="11" t="s">
        <v>26</v>
      </c>
    </row>
    <row r="23" spans="1:9" x14ac:dyDescent="0.35">
      <c r="A23" s="8">
        <v>43982</v>
      </c>
      <c r="B23" s="9" t="s">
        <v>126</v>
      </c>
      <c r="C23" s="9" t="s">
        <v>66</v>
      </c>
      <c r="D23" s="9" t="str">
        <f>Table_0__2[[#This Row],[Book]]</f>
        <v>Camino Winds</v>
      </c>
      <c r="E23" s="8">
        <f>Table_0__2[[#This Row],[Date]]</f>
        <v>43982</v>
      </c>
      <c r="F23" s="9" t="s">
        <v>224</v>
      </c>
      <c r="G23" s="14">
        <v>9.99</v>
      </c>
      <c r="I23" s="10" t="s">
        <v>49</v>
      </c>
    </row>
    <row r="24" spans="1:9" x14ac:dyDescent="0.35">
      <c r="A24" s="8">
        <v>43989</v>
      </c>
      <c r="B24" s="9" t="s">
        <v>126</v>
      </c>
      <c r="C24" s="9" t="s">
        <v>66</v>
      </c>
      <c r="D24" s="9" t="str">
        <f>Table_0__2[[#This Row],[Book]]</f>
        <v>Camino Winds</v>
      </c>
      <c r="E24" s="8">
        <f>Table_0__2[[#This Row],[Date]]</f>
        <v>43989</v>
      </c>
      <c r="F24" s="9" t="s">
        <v>224</v>
      </c>
      <c r="G24" s="14">
        <v>9.99</v>
      </c>
      <c r="I24" s="11" t="s">
        <v>76</v>
      </c>
    </row>
    <row r="25" spans="1:9" x14ac:dyDescent="0.35">
      <c r="A25" s="8">
        <v>43996</v>
      </c>
      <c r="B25" s="9" t="s">
        <v>128</v>
      </c>
      <c r="C25" s="9" t="s">
        <v>43</v>
      </c>
      <c r="D25" s="9" t="str">
        <f>Table_0__2[[#This Row],[Book]]</f>
        <v>Hideaway</v>
      </c>
      <c r="E25" s="8">
        <f>Table_0__2[[#This Row],[Date]]</f>
        <v>43996</v>
      </c>
      <c r="F25" s="9" t="s">
        <v>217</v>
      </c>
      <c r="G25" s="14">
        <v>17.989999999999998</v>
      </c>
      <c r="I25" s="11" t="s">
        <v>144</v>
      </c>
    </row>
    <row r="26" spans="1:9" x14ac:dyDescent="0.35">
      <c r="A26" s="8">
        <v>44003</v>
      </c>
      <c r="B26" s="9" t="s">
        <v>129</v>
      </c>
      <c r="C26" s="9" t="s">
        <v>130</v>
      </c>
      <c r="D26" s="9" t="str">
        <f>Table_0__2[[#This Row],[Book]]</f>
        <v>The Vanishing Half</v>
      </c>
      <c r="E26" s="8">
        <f>Table_0__2[[#This Row],[Date]]</f>
        <v>44003</v>
      </c>
      <c r="F26" s="9" t="s">
        <v>246</v>
      </c>
      <c r="G26" s="14">
        <v>27</v>
      </c>
      <c r="I26" s="10" t="s">
        <v>60</v>
      </c>
    </row>
    <row r="27" spans="1:9" x14ac:dyDescent="0.35">
      <c r="A27" s="8">
        <v>44010</v>
      </c>
      <c r="B27" s="9" t="s">
        <v>131</v>
      </c>
      <c r="C27" s="9" t="s">
        <v>197</v>
      </c>
      <c r="D27" s="9" t="str">
        <f>Table_0__2[[#This Row],[Book]]</f>
        <v>The Summer House</v>
      </c>
      <c r="E27" s="8">
        <f>Table_0__2[[#This Row],[Date]]</f>
        <v>44010</v>
      </c>
      <c r="F27" s="9" t="s">
        <v>237</v>
      </c>
      <c r="G27" s="14">
        <v>16.989999999999998</v>
      </c>
      <c r="I27" s="11" t="s">
        <v>64</v>
      </c>
    </row>
    <row r="28" spans="1:9" x14ac:dyDescent="0.35">
      <c r="A28" s="8">
        <v>44017</v>
      </c>
      <c r="B28" s="9" t="s">
        <v>133</v>
      </c>
      <c r="C28" s="9" t="s">
        <v>90</v>
      </c>
      <c r="D28" s="9" t="str">
        <f>Table_0__2[[#This Row],[Book]]</f>
        <v>28 Summers</v>
      </c>
      <c r="E28" s="8">
        <f>Table_0__2[[#This Row],[Date]]</f>
        <v>44017</v>
      </c>
      <c r="F28" s="9" t="s">
        <v>217</v>
      </c>
      <c r="G28" s="14">
        <v>16.989999999999998</v>
      </c>
      <c r="I28" s="11" t="s">
        <v>198</v>
      </c>
    </row>
    <row r="29" spans="1:9" x14ac:dyDescent="0.35">
      <c r="A29" s="8">
        <v>44024</v>
      </c>
      <c r="B29" s="9" t="s">
        <v>133</v>
      </c>
      <c r="C29" s="9" t="s">
        <v>90</v>
      </c>
      <c r="D29" s="9" t="str">
        <f>Table_0__2[[#This Row],[Book]]</f>
        <v>28 Summers</v>
      </c>
      <c r="E29" s="8">
        <f>Table_0__2[[#This Row],[Date]]</f>
        <v>44024</v>
      </c>
      <c r="F29" s="9" t="s">
        <v>217</v>
      </c>
      <c r="G29" s="14">
        <v>16.989999999999998</v>
      </c>
      <c r="I29" s="10" t="s">
        <v>72</v>
      </c>
    </row>
    <row r="30" spans="1:9" x14ac:dyDescent="0.35">
      <c r="A30" s="8">
        <v>44031</v>
      </c>
      <c r="B30" s="9" t="s">
        <v>129</v>
      </c>
      <c r="C30" s="9" t="s">
        <v>130</v>
      </c>
      <c r="D30" s="9" t="str">
        <f>Table_0__2[[#This Row],[Book]]</f>
        <v>The Vanishing Half</v>
      </c>
      <c r="E30" s="8">
        <f>Table_0__2[[#This Row],[Date]]</f>
        <v>44031</v>
      </c>
      <c r="F30" s="9" t="s">
        <v>246</v>
      </c>
      <c r="G30" s="14">
        <v>27</v>
      </c>
      <c r="I30" s="11" t="s">
        <v>68</v>
      </c>
    </row>
    <row r="31" spans="1:9" x14ac:dyDescent="0.35">
      <c r="A31" s="8">
        <v>44038</v>
      </c>
      <c r="B31" s="9" t="s">
        <v>129</v>
      </c>
      <c r="C31" s="9" t="s">
        <v>130</v>
      </c>
      <c r="D31" s="9" t="str">
        <f>Table_0__2[[#This Row],[Book]]</f>
        <v>The Vanishing Half</v>
      </c>
      <c r="E31" s="8">
        <f>Table_0__2[[#This Row],[Date]]</f>
        <v>44038</v>
      </c>
      <c r="F31" s="9" t="s">
        <v>246</v>
      </c>
      <c r="G31" s="14">
        <v>27</v>
      </c>
      <c r="I31" s="10" t="s">
        <v>154</v>
      </c>
    </row>
    <row r="32" spans="1:9" x14ac:dyDescent="0.35">
      <c r="A32" s="8">
        <v>44045</v>
      </c>
      <c r="B32" s="9" t="s">
        <v>134</v>
      </c>
      <c r="C32" s="9" t="s">
        <v>47</v>
      </c>
      <c r="D32" s="9" t="str">
        <f>Table_0__2[[#This Row],[Book]]</f>
        <v>The Order</v>
      </c>
      <c r="E32" s="8">
        <f>Table_0__2[[#This Row],[Date]]</f>
        <v>44045</v>
      </c>
      <c r="F32" s="9" t="s">
        <v>245</v>
      </c>
      <c r="G32" s="14">
        <v>9.99</v>
      </c>
      <c r="I32" s="11" t="s">
        <v>30</v>
      </c>
    </row>
    <row r="33" spans="1:7" x14ac:dyDescent="0.35">
      <c r="A33" s="8">
        <v>44052</v>
      </c>
      <c r="B33" s="9" t="s">
        <v>135</v>
      </c>
      <c r="C33" s="9" t="s">
        <v>136</v>
      </c>
      <c r="D33" s="9" t="str">
        <f>Table_0__2[[#This Row],[Book]]</f>
        <v>Near Dark</v>
      </c>
      <c r="E33" s="8">
        <f>Table_0__2[[#This Row],[Date]]</f>
        <v>44052</v>
      </c>
      <c r="F33" s="9" t="s">
        <v>244</v>
      </c>
      <c r="G33" s="14">
        <v>7.48</v>
      </c>
    </row>
    <row r="34" spans="1:7" x14ac:dyDescent="0.35">
      <c r="A34" s="8">
        <v>44059</v>
      </c>
      <c r="B34" s="9" t="s">
        <v>137</v>
      </c>
      <c r="C34" s="9" t="s">
        <v>138</v>
      </c>
      <c r="D34" s="9" t="str">
        <f>Table_0__2[[#This Row],[Book]]</f>
        <v>Deadlock</v>
      </c>
      <c r="E34" s="8">
        <f>Table_0__2[[#This Row],[Date]]</f>
        <v>44059</v>
      </c>
      <c r="F34" s="9" t="s">
        <v>224</v>
      </c>
      <c r="G34" s="14">
        <v>14.99</v>
      </c>
    </row>
    <row r="35" spans="1:7" x14ac:dyDescent="0.35">
      <c r="A35" s="8">
        <v>44066</v>
      </c>
      <c r="B35" s="9" t="s">
        <v>81</v>
      </c>
      <c r="C35" s="9" t="s">
        <v>82</v>
      </c>
      <c r="D35" s="9" t="str">
        <f>Table_0__2[[#This Row],[Book]]</f>
        <v>Where the Crawdads Sing</v>
      </c>
      <c r="E35" s="8">
        <f>Table_0__2[[#This Row],[Date]]</f>
        <v>44066</v>
      </c>
      <c r="F35" s="9" t="s">
        <v>217</v>
      </c>
      <c r="G35" s="14">
        <v>18</v>
      </c>
    </row>
    <row r="36" spans="1:7" x14ac:dyDescent="0.35">
      <c r="A36" s="8">
        <v>44073</v>
      </c>
      <c r="B36" s="9" t="s">
        <v>81</v>
      </c>
      <c r="C36" s="9" t="s">
        <v>82</v>
      </c>
      <c r="D36" s="9" t="str">
        <f>Table_0__2[[#This Row],[Book]]</f>
        <v>Where the Crawdads Sing</v>
      </c>
      <c r="E36" s="8">
        <f>Table_0__2[[#This Row],[Date]]</f>
        <v>44073</v>
      </c>
      <c r="F36" s="9" t="s">
        <v>217</v>
      </c>
      <c r="G36" s="14">
        <v>18</v>
      </c>
    </row>
    <row r="37" spans="1:7" x14ac:dyDescent="0.35">
      <c r="A37" s="8">
        <v>44080</v>
      </c>
      <c r="B37" s="9" t="s">
        <v>139</v>
      </c>
      <c r="C37" s="9" t="s">
        <v>26</v>
      </c>
      <c r="D37" s="9" t="str">
        <f>Table_0__2[[#This Row],[Book]]</f>
        <v>Royal</v>
      </c>
      <c r="E37" s="8">
        <f>Table_0__2[[#This Row],[Date]]</f>
        <v>44080</v>
      </c>
      <c r="F37" s="9" t="s">
        <v>217</v>
      </c>
      <c r="G37" s="14">
        <v>8.99</v>
      </c>
    </row>
    <row r="38" spans="1:7" x14ac:dyDescent="0.35">
      <c r="A38" s="8">
        <v>44087</v>
      </c>
      <c r="B38" s="9" t="s">
        <v>140</v>
      </c>
      <c r="C38" s="9" t="s">
        <v>49</v>
      </c>
      <c r="D38" s="9" t="str">
        <f>Table_0__2[[#This Row],[Book]]</f>
        <v>Thick as Thieves</v>
      </c>
      <c r="E38" s="8">
        <f>Table_0__2[[#This Row],[Date]]</f>
        <v>44087</v>
      </c>
      <c r="F38" s="9" t="s">
        <v>247</v>
      </c>
      <c r="G38" s="14">
        <v>16.989999999999998</v>
      </c>
    </row>
    <row r="39" spans="1:7" x14ac:dyDescent="0.35">
      <c r="A39" s="8">
        <v>44094</v>
      </c>
      <c r="B39" s="9" t="s">
        <v>141</v>
      </c>
      <c r="C39" s="9" t="s">
        <v>76</v>
      </c>
      <c r="D39" s="9" t="str">
        <f>Table_0__2[[#This Row],[Book]]</f>
        <v>All the Devils Are Here</v>
      </c>
      <c r="E39" s="8">
        <f>Table_0__2[[#This Row],[Date]]</f>
        <v>44094</v>
      </c>
      <c r="F39" s="9" t="s">
        <v>241</v>
      </c>
      <c r="G39" s="14">
        <v>9.99</v>
      </c>
    </row>
    <row r="40" spans="1:7" x14ac:dyDescent="0.35">
      <c r="A40" s="8">
        <v>44101</v>
      </c>
      <c r="B40" s="9" t="s">
        <v>142</v>
      </c>
      <c r="C40" s="9" t="s">
        <v>18</v>
      </c>
      <c r="D40" s="9" t="str">
        <f>Table_0__2[[#This Row],[Book]]</f>
        <v>Shadows in Death</v>
      </c>
      <c r="E40" s="8">
        <f>Table_0__2[[#This Row],[Date]]</f>
        <v>44101</v>
      </c>
      <c r="F40" s="9" t="s">
        <v>248</v>
      </c>
      <c r="G40" s="14">
        <v>8.99</v>
      </c>
    </row>
    <row r="41" spans="1:7" x14ac:dyDescent="0.35">
      <c r="A41" s="8">
        <v>44108</v>
      </c>
      <c r="B41" s="9" t="s">
        <v>143</v>
      </c>
      <c r="C41" s="9" t="s">
        <v>144</v>
      </c>
      <c r="D41" s="9" t="str">
        <f>Table_0__2[[#This Row],[Book]]</f>
        <v>The Evening and the Morning</v>
      </c>
      <c r="E41" s="8">
        <f>Table_0__2[[#This Row],[Date]]</f>
        <v>44108</v>
      </c>
      <c r="F41" s="9" t="s">
        <v>238</v>
      </c>
      <c r="G41" s="14">
        <v>20</v>
      </c>
    </row>
    <row r="42" spans="1:7" x14ac:dyDescent="0.35">
      <c r="A42" s="8">
        <v>44115</v>
      </c>
      <c r="B42" s="9" t="s">
        <v>145</v>
      </c>
      <c r="C42" s="9" t="s">
        <v>60</v>
      </c>
      <c r="D42" s="9" t="str">
        <f>Table_0__2[[#This Row],[Book]]</f>
        <v>The Book of Two Ways</v>
      </c>
      <c r="E42" s="8">
        <f>Table_0__2[[#This Row],[Date]]</f>
        <v>44115</v>
      </c>
      <c r="F42" s="9" t="s">
        <v>249</v>
      </c>
      <c r="G42" s="14">
        <v>13.99</v>
      </c>
    </row>
    <row r="43" spans="1:7" x14ac:dyDescent="0.35">
      <c r="A43" s="8">
        <v>44122</v>
      </c>
      <c r="B43" s="9" t="s">
        <v>146</v>
      </c>
      <c r="C43" s="9" t="s">
        <v>64</v>
      </c>
      <c r="D43" s="9" t="str">
        <f>Table_0__2[[#This Row],[Book]]</f>
        <v>The Return</v>
      </c>
      <c r="E43" s="8">
        <f>Table_0__2[[#This Row],[Date]]</f>
        <v>44122</v>
      </c>
      <c r="F43" s="9" t="s">
        <v>217</v>
      </c>
      <c r="G43" s="14">
        <v>12.45</v>
      </c>
    </row>
    <row r="44" spans="1:7" x14ac:dyDescent="0.35">
      <c r="A44" s="8">
        <v>44129</v>
      </c>
      <c r="B44" s="9" t="s">
        <v>147</v>
      </c>
      <c r="C44" s="9" t="s">
        <v>90</v>
      </c>
      <c r="D44" s="9" t="str">
        <f>Table_0__2[[#This Row],[Book]]</f>
        <v>Troubles in Paradise</v>
      </c>
      <c r="E44" s="8">
        <f>Table_0__2[[#This Row],[Date]]</f>
        <v>44129</v>
      </c>
      <c r="F44" s="9" t="s">
        <v>250</v>
      </c>
      <c r="G44" s="14">
        <v>13.99</v>
      </c>
    </row>
    <row r="45" spans="1:7" x14ac:dyDescent="0.35">
      <c r="A45" s="8">
        <v>44136</v>
      </c>
      <c r="B45" s="9" t="s">
        <v>148</v>
      </c>
      <c r="C45" s="9" t="s">
        <v>66</v>
      </c>
      <c r="D45" s="9" t="str">
        <f>Table_0__2[[#This Row],[Book]]</f>
        <v>A Time for Mercy</v>
      </c>
      <c r="E45" s="8">
        <f>Table_0__2[[#This Row],[Date]]</f>
        <v>44136</v>
      </c>
      <c r="F45" s="9" t="s">
        <v>214</v>
      </c>
      <c r="G45" s="14">
        <v>18</v>
      </c>
    </row>
    <row r="46" spans="1:7" x14ac:dyDescent="0.35">
      <c r="A46" s="8">
        <v>44143</v>
      </c>
      <c r="B46" s="9" t="s">
        <v>148</v>
      </c>
      <c r="C46" s="9" t="s">
        <v>66</v>
      </c>
      <c r="D46" s="9" t="str">
        <f>Table_0__2[[#This Row],[Book]]</f>
        <v>A Time for Mercy</v>
      </c>
      <c r="E46" s="8">
        <f>Table_0__2[[#This Row],[Date]]</f>
        <v>44143</v>
      </c>
      <c r="F46" s="9" t="s">
        <v>214</v>
      </c>
      <c r="G46" s="14">
        <v>18</v>
      </c>
    </row>
    <row r="47" spans="1:7" x14ac:dyDescent="0.35">
      <c r="A47" s="8">
        <v>44150</v>
      </c>
      <c r="B47" s="9" t="s">
        <v>149</v>
      </c>
      <c r="C47" s="9" t="s">
        <v>198</v>
      </c>
      <c r="D47" s="9" t="str">
        <f>Table_0__2[[#This Row],[Book]]</f>
        <v>The Sentinel</v>
      </c>
      <c r="E47" s="8">
        <f>Table_0__2[[#This Row],[Date]]</f>
        <v>44150</v>
      </c>
      <c r="F47" s="9" t="s">
        <v>214</v>
      </c>
      <c r="G47" s="14">
        <v>20.13</v>
      </c>
    </row>
    <row r="48" spans="1:7" x14ac:dyDescent="0.35">
      <c r="A48" s="8">
        <v>44157</v>
      </c>
      <c r="B48" s="9" t="s">
        <v>151</v>
      </c>
      <c r="C48" s="9" t="s">
        <v>72</v>
      </c>
      <c r="D48" s="9" t="str">
        <f>Table_0__2[[#This Row],[Book]]</f>
        <v>Fortune and Glory</v>
      </c>
      <c r="E48" s="8">
        <f>Table_0__2[[#This Row],[Date]]</f>
        <v>44157</v>
      </c>
      <c r="F48" s="9" t="s">
        <v>234</v>
      </c>
      <c r="G48" s="14">
        <v>22.83</v>
      </c>
    </row>
    <row r="49" spans="1:7" x14ac:dyDescent="0.35">
      <c r="A49" s="8">
        <v>44164</v>
      </c>
      <c r="B49" s="9" t="s">
        <v>152</v>
      </c>
      <c r="C49" s="9" t="s">
        <v>68</v>
      </c>
      <c r="D49" s="9" t="str">
        <f>Table_0__2[[#This Row],[Book]]</f>
        <v>The Law of Innocence</v>
      </c>
      <c r="E49" s="8">
        <f>Table_0__2[[#This Row],[Date]]</f>
        <v>44164</v>
      </c>
      <c r="F49" s="9" t="s">
        <v>241</v>
      </c>
      <c r="G49" s="14">
        <v>16.989999999999998</v>
      </c>
    </row>
    <row r="50" spans="1:7" x14ac:dyDescent="0.35">
      <c r="A50" s="8">
        <v>44171</v>
      </c>
      <c r="B50" s="9" t="s">
        <v>153</v>
      </c>
      <c r="C50" s="9" t="s">
        <v>154</v>
      </c>
      <c r="D50" s="9" t="str">
        <f>Table_0__2[[#This Row],[Book]]</f>
        <v>Rhythm of War</v>
      </c>
      <c r="E50" s="8">
        <f>Table_0__2[[#This Row],[Date]]</f>
        <v>44171</v>
      </c>
      <c r="F50" s="9" t="s">
        <v>233</v>
      </c>
      <c r="G50" s="14">
        <v>20.99</v>
      </c>
    </row>
    <row r="51" spans="1:7" x14ac:dyDescent="0.35">
      <c r="A51" s="8">
        <v>44178</v>
      </c>
      <c r="B51" s="9" t="s">
        <v>155</v>
      </c>
      <c r="C51" s="9" t="s">
        <v>30</v>
      </c>
      <c r="D51" s="9" t="str">
        <f>Table_0__2[[#This Row],[Book]]</f>
        <v>Ready Player Two</v>
      </c>
      <c r="E51" s="8">
        <f>Table_0__2[[#This Row],[Date]]</f>
        <v>44178</v>
      </c>
      <c r="F51" s="9" t="s">
        <v>222</v>
      </c>
      <c r="G51" s="14">
        <v>28.99</v>
      </c>
    </row>
    <row r="52" spans="1:7" x14ac:dyDescent="0.35">
      <c r="A52" s="8">
        <v>44185</v>
      </c>
      <c r="B52" s="9" t="s">
        <v>155</v>
      </c>
      <c r="C52" s="9" t="s">
        <v>30</v>
      </c>
      <c r="D52" s="9" t="str">
        <f>Table_0__2[[#This Row],[Book]]</f>
        <v>Ready Player Two</v>
      </c>
      <c r="E52" s="8">
        <f>Table_0__2[[#This Row],[Date]]</f>
        <v>44185</v>
      </c>
      <c r="F52" s="9" t="s">
        <v>222</v>
      </c>
      <c r="G52" s="14">
        <v>29.99</v>
      </c>
    </row>
    <row r="53" spans="1:7" x14ac:dyDescent="0.35">
      <c r="A53" s="8">
        <v>44192</v>
      </c>
      <c r="B53" s="9" t="s">
        <v>155</v>
      </c>
      <c r="C53" s="9" t="s">
        <v>30</v>
      </c>
      <c r="D53" s="9" t="str">
        <f>Table_0__2[[#This Row],[Book]]</f>
        <v>Ready Player Two</v>
      </c>
      <c r="E53" s="8">
        <f>Table_0__2[[#This Row],[Date]]</f>
        <v>44192</v>
      </c>
      <c r="F53" s="9" t="s">
        <v>222</v>
      </c>
      <c r="G53" s="14">
        <v>30.99</v>
      </c>
    </row>
  </sheetData>
  <phoneticPr fontId="1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5F2F7-6D55-4C92-9684-A97BC2BB1FDF}">
  <sheetPr codeName="Sheet7"/>
  <dimension ref="A1:J30"/>
  <sheetViews>
    <sheetView topLeftCell="F1" workbookViewId="0">
      <selection activeCell="C34" sqref="C34"/>
    </sheetView>
  </sheetViews>
  <sheetFormatPr defaultRowHeight="14.5" x14ac:dyDescent="0.35"/>
  <cols>
    <col min="1" max="1" width="9.453125" bestFit="1" customWidth="1"/>
    <col min="2" max="2" width="27.81640625" bestFit="1" customWidth="1"/>
    <col min="3" max="3" width="31" bestFit="1" customWidth="1"/>
    <col min="4" max="4" width="27.81640625" bestFit="1" customWidth="1"/>
    <col min="5" max="5" width="10.54296875" bestFit="1" customWidth="1"/>
    <col min="6" max="6" width="19.81640625" bestFit="1" customWidth="1"/>
    <col min="7" max="7" width="7.1796875" bestFit="1" customWidth="1"/>
    <col min="8" max="8" width="23.453125" bestFit="1" customWidth="1"/>
    <col min="10" max="10" width="31" bestFit="1" customWidth="1"/>
  </cols>
  <sheetData>
    <row r="1" spans="1:10" x14ac:dyDescent="0.35">
      <c r="A1" t="s">
        <v>4</v>
      </c>
      <c r="B1" t="s">
        <v>5</v>
      </c>
      <c r="C1" t="s">
        <v>6</v>
      </c>
      <c r="D1" t="s">
        <v>209</v>
      </c>
      <c r="E1" t="s">
        <v>208</v>
      </c>
      <c r="F1" t="s">
        <v>212</v>
      </c>
      <c r="G1" t="s">
        <v>213</v>
      </c>
      <c r="H1" t="s">
        <v>156</v>
      </c>
    </row>
    <row r="2" spans="1:10" x14ac:dyDescent="0.35">
      <c r="A2" s="8">
        <v>44199</v>
      </c>
      <c r="B2" s="9" t="s">
        <v>148</v>
      </c>
      <c r="C2" s="9" t="s">
        <v>66</v>
      </c>
      <c r="D2" s="9" t="str">
        <f>Table_0[[#This Row],[Book]]</f>
        <v>A Time for Mercy</v>
      </c>
      <c r="E2" s="8">
        <f>Table_0[[#This Row],[Date]]</f>
        <v>44199</v>
      </c>
      <c r="F2" s="9" t="s">
        <v>214</v>
      </c>
      <c r="G2" s="14">
        <v>18</v>
      </c>
      <c r="H2" s="9" t="s">
        <v>157</v>
      </c>
      <c r="J2" s="12" t="s">
        <v>66</v>
      </c>
    </row>
    <row r="3" spans="1:10" x14ac:dyDescent="0.35">
      <c r="A3" s="8">
        <v>44206</v>
      </c>
      <c r="B3" s="9" t="s">
        <v>148</v>
      </c>
      <c r="C3" s="9" t="s">
        <v>66</v>
      </c>
      <c r="D3" s="9" t="str">
        <f>Table_0[[#This Row],[Book]]</f>
        <v>A Time for Mercy</v>
      </c>
      <c r="E3" s="8">
        <f>Table_0[[#This Row],[Date]]</f>
        <v>44206</v>
      </c>
      <c r="F3" s="9" t="s">
        <v>214</v>
      </c>
      <c r="G3" s="14">
        <v>18</v>
      </c>
      <c r="H3" s="9" t="s">
        <v>157</v>
      </c>
      <c r="J3" s="12" t="s">
        <v>159</v>
      </c>
    </row>
    <row r="4" spans="1:10" x14ac:dyDescent="0.35">
      <c r="A4" s="8">
        <v>44213</v>
      </c>
      <c r="B4" s="9" t="s">
        <v>158</v>
      </c>
      <c r="C4" s="9" t="s">
        <v>159</v>
      </c>
      <c r="D4" s="9" t="str">
        <f>Table_0[[#This Row],[Book]]</f>
        <v>The Duke and I</v>
      </c>
      <c r="E4" s="8">
        <f>Table_0[[#This Row],[Date]]</f>
        <v>44213</v>
      </c>
      <c r="F4" s="8" t="s">
        <v>217</v>
      </c>
      <c r="G4" s="14">
        <v>16.989999999999998</v>
      </c>
      <c r="H4" s="9" t="s">
        <v>160</v>
      </c>
      <c r="J4" s="12" t="s">
        <v>195</v>
      </c>
    </row>
    <row r="5" spans="1:10" x14ac:dyDescent="0.35">
      <c r="A5" s="8">
        <v>44220</v>
      </c>
      <c r="B5" s="9" t="s">
        <v>158</v>
      </c>
      <c r="C5" s="9" t="s">
        <v>159</v>
      </c>
      <c r="D5" s="9" t="str">
        <f>Table_0[[#This Row],[Book]]</f>
        <v>The Duke and I</v>
      </c>
      <c r="E5" s="8">
        <f>Table_0[[#This Row],[Date]]</f>
        <v>44220</v>
      </c>
      <c r="F5" s="8" t="s">
        <v>217</v>
      </c>
      <c r="G5" s="14">
        <v>16.989999999999998</v>
      </c>
      <c r="H5" s="9" t="s">
        <v>160</v>
      </c>
      <c r="J5" s="13" t="s">
        <v>20</v>
      </c>
    </row>
    <row r="6" spans="1:10" x14ac:dyDescent="0.35">
      <c r="A6" s="8">
        <v>44227</v>
      </c>
      <c r="B6" s="9" t="s">
        <v>158</v>
      </c>
      <c r="C6" s="9" t="s">
        <v>159</v>
      </c>
      <c r="D6" s="9" t="str">
        <f>Table_0[[#This Row],[Book]]</f>
        <v>The Duke and I</v>
      </c>
      <c r="E6" s="8">
        <f>Table_0[[#This Row],[Date]]</f>
        <v>44227</v>
      </c>
      <c r="F6" s="8" t="s">
        <v>217</v>
      </c>
      <c r="G6" s="14">
        <v>16.989999999999998</v>
      </c>
      <c r="H6" s="9" t="s">
        <v>160</v>
      </c>
      <c r="J6" s="13" t="s">
        <v>117</v>
      </c>
    </row>
    <row r="7" spans="1:10" x14ac:dyDescent="0.35">
      <c r="A7" s="8">
        <v>44234</v>
      </c>
      <c r="B7" s="9" t="s">
        <v>158</v>
      </c>
      <c r="C7" s="9" t="s">
        <v>159</v>
      </c>
      <c r="D7" s="9" t="str">
        <f>Table_0[[#This Row],[Book]]</f>
        <v>The Duke and I</v>
      </c>
      <c r="E7" s="8">
        <f>Table_0[[#This Row],[Date]]</f>
        <v>44234</v>
      </c>
      <c r="F7" s="8" t="s">
        <v>217</v>
      </c>
      <c r="G7" s="14">
        <v>16.989999999999998</v>
      </c>
      <c r="H7" s="9" t="s">
        <v>160</v>
      </c>
      <c r="J7" s="13" t="s">
        <v>168</v>
      </c>
    </row>
    <row r="8" spans="1:10" x14ac:dyDescent="0.35">
      <c r="A8" s="8">
        <v>44241</v>
      </c>
      <c r="B8" s="9" t="s">
        <v>161</v>
      </c>
      <c r="C8" s="9" t="s">
        <v>195</v>
      </c>
      <c r="D8" s="9" t="str">
        <f>Table_0[[#This Row],[Book]]</f>
        <v>The Russian</v>
      </c>
      <c r="E8" s="8">
        <f>Table_0[[#This Row],[Date]]</f>
        <v>44241</v>
      </c>
      <c r="F8" s="8" t="s">
        <v>214</v>
      </c>
      <c r="G8" s="14">
        <v>20.57</v>
      </c>
      <c r="H8" s="9" t="s">
        <v>162</v>
      </c>
      <c r="J8" s="13" t="s">
        <v>171</v>
      </c>
    </row>
    <row r="9" spans="1:10" x14ac:dyDescent="0.35">
      <c r="A9" s="8">
        <v>44248</v>
      </c>
      <c r="B9" s="9" t="s">
        <v>163</v>
      </c>
      <c r="C9" s="9" t="s">
        <v>20</v>
      </c>
      <c r="D9" s="9" t="str">
        <f>Table_0[[#This Row],[Book]]</f>
        <v>The Four Winds</v>
      </c>
      <c r="E9" s="8">
        <f>Table_0[[#This Row],[Date]]</f>
        <v>44248</v>
      </c>
      <c r="F9" s="8" t="s">
        <v>251</v>
      </c>
      <c r="G9" s="14">
        <v>19.420000000000002</v>
      </c>
      <c r="H9" s="9" t="s">
        <v>164</v>
      </c>
      <c r="J9" s="13" t="s">
        <v>174</v>
      </c>
    </row>
    <row r="10" spans="1:10" x14ac:dyDescent="0.35">
      <c r="A10" s="8">
        <v>44255</v>
      </c>
      <c r="B10" s="9" t="s">
        <v>163</v>
      </c>
      <c r="C10" s="9" t="s">
        <v>20</v>
      </c>
      <c r="D10" s="9" t="str">
        <f>Table_0[[#This Row],[Book]]</f>
        <v>The Four Winds</v>
      </c>
      <c r="E10" s="8">
        <f>Table_0[[#This Row],[Date]]</f>
        <v>44255</v>
      </c>
      <c r="F10" s="8" t="s">
        <v>251</v>
      </c>
      <c r="G10" s="14">
        <v>19.420000000000002</v>
      </c>
      <c r="H10" s="9" t="s">
        <v>164</v>
      </c>
      <c r="J10" s="13" t="s">
        <v>36</v>
      </c>
    </row>
    <row r="11" spans="1:10" x14ac:dyDescent="0.35">
      <c r="A11" s="8">
        <v>44262</v>
      </c>
      <c r="B11" s="9" t="s">
        <v>165</v>
      </c>
      <c r="C11" s="9" t="s">
        <v>117</v>
      </c>
      <c r="D11" s="9" t="str">
        <f>Table_0[[#This Row],[Book]]</f>
        <v>A Court of Silver Flames</v>
      </c>
      <c r="E11" s="8">
        <f>Table_0[[#This Row],[Date]]</f>
        <v>44262</v>
      </c>
      <c r="F11" s="8" t="s">
        <v>233</v>
      </c>
      <c r="G11" s="14">
        <v>28</v>
      </c>
      <c r="H11" s="9" t="s">
        <v>166</v>
      </c>
      <c r="J11" s="12" t="s">
        <v>34</v>
      </c>
    </row>
    <row r="12" spans="1:10" x14ac:dyDescent="0.35">
      <c r="A12" s="8">
        <v>44269</v>
      </c>
      <c r="B12" s="9" t="s">
        <v>163</v>
      </c>
      <c r="C12" s="9" t="s">
        <v>20</v>
      </c>
      <c r="D12" s="9" t="str">
        <f>Table_0[[#This Row],[Book]]</f>
        <v>The Four Winds</v>
      </c>
      <c r="E12" s="8">
        <f>Table_0[[#This Row],[Date]]</f>
        <v>44269</v>
      </c>
      <c r="F12" s="8" t="s">
        <v>251</v>
      </c>
      <c r="G12" s="14">
        <v>19.420000000000002</v>
      </c>
      <c r="H12" s="9" t="s">
        <v>164</v>
      </c>
      <c r="J12" s="12" t="s">
        <v>101</v>
      </c>
    </row>
    <row r="13" spans="1:10" x14ac:dyDescent="0.35">
      <c r="A13" s="8">
        <v>44276</v>
      </c>
      <c r="B13" s="9" t="s">
        <v>167</v>
      </c>
      <c r="C13" s="9" t="s">
        <v>168</v>
      </c>
      <c r="D13" s="9" t="str">
        <f>Table_0[[#This Row],[Book]]</f>
        <v>Life After Death</v>
      </c>
      <c r="E13" s="8">
        <f>Table_0[[#This Row],[Date]]</f>
        <v>44276</v>
      </c>
      <c r="F13" s="8" t="s">
        <v>252</v>
      </c>
      <c r="G13" s="14">
        <v>27</v>
      </c>
      <c r="H13" s="9" t="s">
        <v>169</v>
      </c>
      <c r="J13" s="13" t="s">
        <v>182</v>
      </c>
    </row>
    <row r="14" spans="1:10" x14ac:dyDescent="0.35">
      <c r="A14" s="8">
        <v>44283</v>
      </c>
      <c r="B14" s="9" t="s">
        <v>163</v>
      </c>
      <c r="C14" s="9" t="s">
        <v>20</v>
      </c>
      <c r="D14" s="9" t="str">
        <f>Table_0[[#This Row],[Book]]</f>
        <v>The Four Winds</v>
      </c>
      <c r="E14" s="8">
        <f>Table_0[[#This Row],[Date]]</f>
        <v>44283</v>
      </c>
      <c r="F14" s="8" t="s">
        <v>251</v>
      </c>
      <c r="G14" s="14">
        <v>19.420000000000002</v>
      </c>
      <c r="H14" s="9" t="s">
        <v>164</v>
      </c>
      <c r="J14" s="12" t="s">
        <v>184</v>
      </c>
    </row>
    <row r="15" spans="1:10" x14ac:dyDescent="0.35">
      <c r="A15" s="8">
        <v>44290</v>
      </c>
      <c r="B15" s="9" t="s">
        <v>170</v>
      </c>
      <c r="C15" s="9" t="s">
        <v>171</v>
      </c>
      <c r="D15" s="9" t="str">
        <f>Table_0[[#This Row],[Book]]</f>
        <v>Win</v>
      </c>
      <c r="E15" s="8">
        <f>Table_0[[#This Row],[Date]]</f>
        <v>44290</v>
      </c>
      <c r="F15" s="8" t="s">
        <v>237</v>
      </c>
      <c r="G15" s="14">
        <v>14.49</v>
      </c>
      <c r="H15" s="9" t="s">
        <v>172</v>
      </c>
      <c r="J15" s="13" t="s">
        <v>43</v>
      </c>
    </row>
    <row r="16" spans="1:10" x14ac:dyDescent="0.35">
      <c r="A16" s="8">
        <v>44297</v>
      </c>
      <c r="B16" s="9" t="s">
        <v>163</v>
      </c>
      <c r="C16" s="9" t="s">
        <v>20</v>
      </c>
      <c r="D16" s="9" t="str">
        <f>Table_0[[#This Row],[Book]]</f>
        <v>The Four Winds</v>
      </c>
      <c r="E16" s="8">
        <f>Table_0[[#This Row],[Date]]</f>
        <v>44297</v>
      </c>
      <c r="F16" s="8" t="s">
        <v>251</v>
      </c>
      <c r="G16" s="14">
        <v>19.420000000000002</v>
      </c>
      <c r="H16" s="9" t="s">
        <v>164</v>
      </c>
      <c r="J16" s="12" t="s">
        <v>188</v>
      </c>
    </row>
    <row r="17" spans="1:10" x14ac:dyDescent="0.35">
      <c r="A17" s="8">
        <v>44304</v>
      </c>
      <c r="B17" s="9" t="s">
        <v>173</v>
      </c>
      <c r="C17" s="9" t="s">
        <v>174</v>
      </c>
      <c r="D17" s="9" t="str">
        <f>Table_0[[#This Row],[Book]]</f>
        <v>The Hill We Climb</v>
      </c>
      <c r="E17" s="8">
        <f>Table_0[[#This Row],[Date]]</f>
        <v>44304</v>
      </c>
      <c r="F17" s="8" t="s">
        <v>253</v>
      </c>
      <c r="G17" s="14">
        <v>15.99</v>
      </c>
      <c r="H17" s="9" t="s">
        <v>175</v>
      </c>
      <c r="J17" s="13" t="s">
        <v>196</v>
      </c>
    </row>
    <row r="18" spans="1:10" x14ac:dyDescent="0.35">
      <c r="A18" s="8">
        <v>44311</v>
      </c>
      <c r="B18" s="9" t="s">
        <v>173</v>
      </c>
      <c r="C18" s="9" t="s">
        <v>174</v>
      </c>
      <c r="D18" s="9" t="str">
        <f>Table_0[[#This Row],[Book]]</f>
        <v>The Hill We Climb</v>
      </c>
      <c r="E18" s="8">
        <f>Table_0[[#This Row],[Date]]</f>
        <v>44311</v>
      </c>
      <c r="F18" s="8" t="s">
        <v>253</v>
      </c>
      <c r="G18" s="14">
        <v>15.99</v>
      </c>
      <c r="H18" s="9" t="s">
        <v>175</v>
      </c>
      <c r="J18" s="12" t="s">
        <v>193</v>
      </c>
    </row>
    <row r="19" spans="1:10" x14ac:dyDescent="0.35">
      <c r="A19" s="8">
        <v>44318</v>
      </c>
      <c r="B19" s="9" t="s">
        <v>176</v>
      </c>
      <c r="C19" s="9" t="s">
        <v>36</v>
      </c>
      <c r="D19" s="9" t="str">
        <f>Table_0[[#This Row],[Book]]</f>
        <v>Ocean Prey</v>
      </c>
      <c r="E19" s="8">
        <f>Table_0[[#This Row],[Date]]</f>
        <v>44318</v>
      </c>
      <c r="F19" s="8" t="s">
        <v>234</v>
      </c>
      <c r="G19" s="14">
        <v>18.89</v>
      </c>
      <c r="H19" s="9" t="s">
        <v>177</v>
      </c>
    </row>
    <row r="20" spans="1:10" x14ac:dyDescent="0.35">
      <c r="A20" s="8">
        <v>44325</v>
      </c>
      <c r="B20" s="9" t="s">
        <v>178</v>
      </c>
      <c r="C20" s="9" t="s">
        <v>34</v>
      </c>
      <c r="D20" s="9" t="str">
        <f>Table_0[[#This Row],[Book]]</f>
        <v>A Gambling Man</v>
      </c>
      <c r="E20" s="8">
        <f>Table_0[[#This Row],[Date]]</f>
        <v>44325</v>
      </c>
      <c r="F20" s="8" t="s">
        <v>237</v>
      </c>
      <c r="G20" s="14">
        <v>13.49</v>
      </c>
      <c r="H20" s="9" t="s">
        <v>172</v>
      </c>
    </row>
    <row r="21" spans="1:10" x14ac:dyDescent="0.35">
      <c r="A21" s="8">
        <v>44332</v>
      </c>
      <c r="B21" s="9" t="s">
        <v>179</v>
      </c>
      <c r="C21" s="9" t="s">
        <v>66</v>
      </c>
      <c r="D21" s="9" t="str">
        <f>Table_0[[#This Row],[Book]]</f>
        <v>Sooley</v>
      </c>
      <c r="E21" s="8">
        <f>Table_0[[#This Row],[Date]]</f>
        <v>44332</v>
      </c>
      <c r="F21" s="8" t="s">
        <v>254</v>
      </c>
      <c r="G21" s="14">
        <v>22.28</v>
      </c>
      <c r="H21" s="9" t="s">
        <v>157</v>
      </c>
    </row>
    <row r="22" spans="1:10" x14ac:dyDescent="0.35">
      <c r="A22" s="8">
        <v>44339</v>
      </c>
      <c r="B22" s="9" t="s">
        <v>180</v>
      </c>
      <c r="C22" s="9" t="s">
        <v>101</v>
      </c>
      <c r="D22" s="9" t="str">
        <f>Table_0[[#This Row],[Book]]</f>
        <v>21st Birthday</v>
      </c>
      <c r="E22" s="8">
        <f>Table_0[[#This Row],[Date]]</f>
        <v>44339</v>
      </c>
      <c r="F22" s="8" t="s">
        <v>214</v>
      </c>
      <c r="G22" s="14">
        <v>17.989999999999998</v>
      </c>
      <c r="H22" s="9" t="s">
        <v>162</v>
      </c>
    </row>
    <row r="23" spans="1:10" x14ac:dyDescent="0.35">
      <c r="A23" s="8">
        <v>44346</v>
      </c>
      <c r="B23" s="9" t="s">
        <v>181</v>
      </c>
      <c r="C23" s="9" t="s">
        <v>182</v>
      </c>
      <c r="D23" s="9" t="str">
        <f>Table_0[[#This Row],[Book]]</f>
        <v>While Justice Sleeps</v>
      </c>
      <c r="E23" s="8">
        <f>Table_0[[#This Row],[Date]]</f>
        <v>44346</v>
      </c>
      <c r="F23" s="8" t="s">
        <v>255</v>
      </c>
      <c r="G23" s="14">
        <v>22.49</v>
      </c>
      <c r="H23" s="9" t="s">
        <v>157</v>
      </c>
    </row>
    <row r="24" spans="1:10" x14ac:dyDescent="0.35">
      <c r="A24" s="8">
        <v>44353</v>
      </c>
      <c r="B24" s="9" t="s">
        <v>183</v>
      </c>
      <c r="C24" s="9" t="s">
        <v>184</v>
      </c>
      <c r="D24" s="9" t="str">
        <f>Table_0[[#This Row],[Book]]</f>
        <v>The Last Thing He Told Me</v>
      </c>
      <c r="E24" s="8">
        <f>Table_0[[#This Row],[Date]]</f>
        <v>44353</v>
      </c>
      <c r="F24" s="8" t="s">
        <v>237</v>
      </c>
      <c r="G24" s="14">
        <v>20.49</v>
      </c>
      <c r="H24" s="9" t="s">
        <v>185</v>
      </c>
    </row>
    <row r="25" spans="1:10" x14ac:dyDescent="0.35">
      <c r="A25" s="8">
        <v>44360</v>
      </c>
      <c r="B25" s="9" t="s">
        <v>186</v>
      </c>
      <c r="C25" s="9" t="s">
        <v>43</v>
      </c>
      <c r="D25" s="9" t="str">
        <f>Table_0[[#This Row],[Book]]</f>
        <v>Legacy</v>
      </c>
      <c r="E25" s="8">
        <f>Table_0[[#This Row],[Date]]</f>
        <v>44360</v>
      </c>
      <c r="F25" s="8" t="s">
        <v>217</v>
      </c>
      <c r="G25" s="14">
        <v>20.29</v>
      </c>
      <c r="H25" s="9" t="s">
        <v>164</v>
      </c>
    </row>
    <row r="26" spans="1:10" x14ac:dyDescent="0.35">
      <c r="A26" s="8">
        <v>44367</v>
      </c>
      <c r="B26" s="9" t="s">
        <v>187</v>
      </c>
      <c r="C26" s="9" t="s">
        <v>188</v>
      </c>
      <c r="D26" s="9" t="str">
        <f>Table_0[[#This Row],[Book]]</f>
        <v>Freed</v>
      </c>
      <c r="E26" s="8">
        <f>Table_0[[#This Row],[Date]]</f>
        <v>44367</v>
      </c>
      <c r="F26" s="8" t="s">
        <v>217</v>
      </c>
      <c r="G26" s="14">
        <v>14.99</v>
      </c>
      <c r="H26" s="9" t="s">
        <v>189</v>
      </c>
    </row>
    <row r="27" spans="1:10" x14ac:dyDescent="0.35">
      <c r="A27" s="8">
        <v>44374</v>
      </c>
      <c r="B27" s="9" t="s">
        <v>190</v>
      </c>
      <c r="C27" s="9" t="s">
        <v>196</v>
      </c>
      <c r="D27" s="9" t="str">
        <f>Table_0[[#This Row],[Book]]</f>
        <v>The President's Daughter</v>
      </c>
      <c r="E27" s="8">
        <f>Table_0[[#This Row],[Date]]</f>
        <v>44374</v>
      </c>
      <c r="F27" s="8" t="s">
        <v>256</v>
      </c>
      <c r="G27" s="14">
        <v>17.98</v>
      </c>
      <c r="H27" s="9" t="s">
        <v>162</v>
      </c>
    </row>
    <row r="28" spans="1:10" x14ac:dyDescent="0.35">
      <c r="A28" s="8">
        <v>44381</v>
      </c>
      <c r="B28" s="9" t="s">
        <v>190</v>
      </c>
      <c r="C28" s="9" t="s">
        <v>196</v>
      </c>
      <c r="D28" s="9" t="str">
        <f>Table_0[[#This Row],[Book]]</f>
        <v>The President's Daughter</v>
      </c>
      <c r="E28" s="8">
        <f>Table_0[[#This Row],[Date]]</f>
        <v>44381</v>
      </c>
      <c r="F28" s="8" t="s">
        <v>256</v>
      </c>
      <c r="G28" s="14">
        <v>17.98</v>
      </c>
      <c r="H28" s="9" t="s">
        <v>162</v>
      </c>
    </row>
    <row r="29" spans="1:10" x14ac:dyDescent="0.35">
      <c r="A29" s="8">
        <v>44388</v>
      </c>
      <c r="B29" s="9" t="s">
        <v>183</v>
      </c>
      <c r="C29" s="9" t="s">
        <v>184</v>
      </c>
      <c r="D29" s="9" t="str">
        <f>Table_0[[#This Row],[Book]]</f>
        <v>The Last Thing He Told Me</v>
      </c>
      <c r="E29" s="8">
        <f>Table_0[[#This Row],[Date]]</f>
        <v>44388</v>
      </c>
      <c r="F29" s="8" t="s">
        <v>237</v>
      </c>
      <c r="G29" s="14">
        <v>20.49</v>
      </c>
      <c r="H29" s="9" t="s">
        <v>185</v>
      </c>
    </row>
    <row r="30" spans="1:10" x14ac:dyDescent="0.35">
      <c r="A30" s="8">
        <v>44395</v>
      </c>
      <c r="B30" s="9" t="s">
        <v>192</v>
      </c>
      <c r="C30" s="9" t="s">
        <v>193</v>
      </c>
      <c r="D30" s="9" t="str">
        <f>Table_0[[#This Row],[Book]]</f>
        <v>Once Upon a Time in Hollywood</v>
      </c>
      <c r="E30" s="8">
        <f>Table_0[[#This Row],[Date]]</f>
        <v>44395</v>
      </c>
      <c r="F30" s="8" t="s">
        <v>257</v>
      </c>
      <c r="G30" s="14">
        <v>9.99</v>
      </c>
      <c r="H30" s="9" t="s">
        <v>194</v>
      </c>
    </row>
  </sheetData>
  <phoneticPr fontId="17"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8601A-473E-4DBD-AB9B-0C04DCAEEDEA}">
  <sheetPr codeName="Sheet14">
    <tabColor theme="1"/>
  </sheetPr>
  <dimension ref="A1"/>
  <sheetViews>
    <sheetView topLeftCell="A3" workbookViewId="0">
      <selection activeCell="G6" sqref="G6"/>
    </sheetView>
  </sheetViews>
  <sheetFormatPr defaultRowHeight="14.5" x14ac:dyDescent="0.35"/>
  <cols>
    <col min="1" max="16384" width="8.7265625" style="62"/>
  </cols>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D2517-7C46-4014-81E1-C05410CE8C8B}">
  <sheetPr codeName="Sheet8"/>
  <dimension ref="B1:S54"/>
  <sheetViews>
    <sheetView topLeftCell="F1" workbookViewId="0">
      <selection activeCell="S3" sqref="S3:S6"/>
    </sheetView>
  </sheetViews>
  <sheetFormatPr defaultRowHeight="14.5" x14ac:dyDescent="0.35"/>
  <sheetData>
    <row r="1" spans="2:19" ht="15" thickBot="1" x14ac:dyDescent="0.4">
      <c r="B1" s="86">
        <v>2018</v>
      </c>
      <c r="C1" s="87"/>
      <c r="D1" s="88"/>
      <c r="F1" s="81">
        <v>2019</v>
      </c>
      <c r="G1" s="82"/>
      <c r="H1" s="83"/>
      <c r="J1" s="78">
        <v>2020</v>
      </c>
      <c r="K1" s="79"/>
      <c r="L1" s="80"/>
      <c r="N1" s="72">
        <v>2021</v>
      </c>
      <c r="O1" s="73"/>
      <c r="P1" s="73"/>
      <c r="Q1" s="74"/>
    </row>
    <row r="2" spans="2:19" ht="15" thickBot="1" x14ac:dyDescent="0.4">
      <c r="B2" s="7" t="s">
        <v>4</v>
      </c>
      <c r="C2" s="7" t="s">
        <v>5</v>
      </c>
      <c r="D2" s="7" t="s">
        <v>6</v>
      </c>
      <c r="F2" s="7" t="s">
        <v>4</v>
      </c>
      <c r="G2" s="7" t="s">
        <v>5</v>
      </c>
      <c r="H2" s="7" t="s">
        <v>6</v>
      </c>
      <c r="J2" s="7" t="s">
        <v>4</v>
      </c>
      <c r="K2" s="7" t="s">
        <v>5</v>
      </c>
      <c r="L2" s="7" t="s">
        <v>6</v>
      </c>
      <c r="N2" s="7" t="s">
        <v>4</v>
      </c>
      <c r="O2" s="7" t="s">
        <v>5</v>
      </c>
      <c r="P2" s="7" t="s">
        <v>6</v>
      </c>
      <c r="Q2" s="7" t="s">
        <v>156</v>
      </c>
    </row>
    <row r="3" spans="2:19" ht="44" thickBot="1" x14ac:dyDescent="0.4">
      <c r="B3" s="2">
        <v>44203</v>
      </c>
      <c r="C3" s="3" t="s">
        <v>7</v>
      </c>
      <c r="D3" s="3" t="s">
        <v>8</v>
      </c>
      <c r="F3" s="2">
        <v>44202</v>
      </c>
      <c r="G3" s="3" t="s">
        <v>65</v>
      </c>
      <c r="H3" s="3" t="s">
        <v>66</v>
      </c>
      <c r="J3" s="2">
        <v>44201</v>
      </c>
      <c r="K3" s="66" t="s">
        <v>81</v>
      </c>
      <c r="L3" s="66" t="s">
        <v>82</v>
      </c>
      <c r="N3" s="2">
        <v>44199</v>
      </c>
      <c r="O3" s="66" t="s">
        <v>148</v>
      </c>
      <c r="P3" s="66" t="s">
        <v>66</v>
      </c>
      <c r="Q3" s="66" t="s">
        <v>157</v>
      </c>
      <c r="S3">
        <v>2018</v>
      </c>
    </row>
    <row r="4" spans="2:19" ht="44" thickBot="1" x14ac:dyDescent="0.4">
      <c r="B4" s="2">
        <v>44210</v>
      </c>
      <c r="C4" s="5" t="s">
        <v>9</v>
      </c>
      <c r="D4" s="3" t="s">
        <v>10</v>
      </c>
      <c r="F4" s="2">
        <v>44209</v>
      </c>
      <c r="G4" s="5" t="s">
        <v>78</v>
      </c>
      <c r="H4" s="3" t="s">
        <v>34</v>
      </c>
      <c r="J4" s="2">
        <v>44208</v>
      </c>
      <c r="K4" s="75"/>
      <c r="L4" s="75"/>
      <c r="N4" s="2">
        <v>44206</v>
      </c>
      <c r="O4" s="67"/>
      <c r="P4" s="67"/>
      <c r="Q4" s="67"/>
      <c r="S4">
        <v>2019</v>
      </c>
    </row>
    <row r="5" spans="2:19" ht="43" customHeight="1" thickBot="1" x14ac:dyDescent="0.4">
      <c r="B5" s="2">
        <v>44217</v>
      </c>
      <c r="C5" s="66" t="s">
        <v>11</v>
      </c>
      <c r="D5" s="66" t="s">
        <v>12</v>
      </c>
      <c r="F5" s="2">
        <v>44216</v>
      </c>
      <c r="G5" s="3" t="s">
        <v>79</v>
      </c>
      <c r="H5" s="4" t="s">
        <v>14</v>
      </c>
      <c r="J5" s="2">
        <v>44215</v>
      </c>
      <c r="K5" s="75"/>
      <c r="L5" s="75"/>
      <c r="N5" s="2">
        <v>44213</v>
      </c>
      <c r="O5" s="66" t="s">
        <v>158</v>
      </c>
      <c r="P5" s="66" t="s">
        <v>159</v>
      </c>
      <c r="Q5" s="66" t="s">
        <v>160</v>
      </c>
      <c r="S5">
        <v>2020</v>
      </c>
    </row>
    <row r="6" spans="2:19" ht="29.5" thickBot="1" x14ac:dyDescent="0.4">
      <c r="B6" s="2">
        <v>44224</v>
      </c>
      <c r="C6" s="67"/>
      <c r="D6" s="67"/>
      <c r="F6" s="2">
        <v>44223</v>
      </c>
      <c r="G6" s="5" t="s">
        <v>80</v>
      </c>
      <c r="H6" s="3" t="s">
        <v>26</v>
      </c>
      <c r="J6" s="2">
        <v>44222</v>
      </c>
      <c r="K6" s="75"/>
      <c r="L6" s="75"/>
      <c r="N6" s="2">
        <v>44220</v>
      </c>
      <c r="O6" s="75"/>
      <c r="P6" s="75"/>
      <c r="Q6" s="75"/>
      <c r="S6">
        <v>2021</v>
      </c>
    </row>
    <row r="7" spans="2:19" ht="44" thickBot="1" x14ac:dyDescent="0.4">
      <c r="B7" s="2">
        <v>44231</v>
      </c>
      <c r="C7" s="3" t="s">
        <v>13</v>
      </c>
      <c r="D7" s="4" t="s">
        <v>14</v>
      </c>
      <c r="F7" s="2">
        <v>44230</v>
      </c>
      <c r="G7" s="66" t="s">
        <v>81</v>
      </c>
      <c r="H7" s="66" t="s">
        <v>82</v>
      </c>
      <c r="J7" s="2">
        <v>44229</v>
      </c>
      <c r="K7" s="67"/>
      <c r="L7" s="67"/>
      <c r="N7" s="2">
        <v>44227</v>
      </c>
      <c r="O7" s="75"/>
      <c r="P7" s="75"/>
      <c r="Q7" s="75"/>
    </row>
    <row r="8" spans="2:19" ht="29.5" thickBot="1" x14ac:dyDescent="0.4">
      <c r="B8" s="2">
        <v>44238</v>
      </c>
      <c r="C8" s="5" t="s">
        <v>15</v>
      </c>
      <c r="D8" s="3" t="s">
        <v>16</v>
      </c>
      <c r="F8" s="2">
        <v>44237</v>
      </c>
      <c r="G8" s="75"/>
      <c r="H8" s="75"/>
      <c r="J8" s="2">
        <v>44236</v>
      </c>
      <c r="K8" s="66" t="s">
        <v>109</v>
      </c>
      <c r="L8" s="66" t="s">
        <v>110</v>
      </c>
      <c r="N8" s="2">
        <v>44234</v>
      </c>
      <c r="O8" s="67"/>
      <c r="P8" s="67"/>
      <c r="Q8" s="67"/>
    </row>
    <row r="9" spans="2:19" ht="58.5" thickBot="1" x14ac:dyDescent="0.4">
      <c r="B9" s="2">
        <v>44245</v>
      </c>
      <c r="C9" s="5" t="s">
        <v>17</v>
      </c>
      <c r="D9" s="3" t="s">
        <v>18</v>
      </c>
      <c r="F9" s="2">
        <v>44244</v>
      </c>
      <c r="G9" s="67"/>
      <c r="H9" s="67"/>
      <c r="J9" s="2">
        <v>44243</v>
      </c>
      <c r="K9" s="67"/>
      <c r="L9" s="67"/>
      <c r="N9" s="2">
        <v>44241</v>
      </c>
      <c r="O9" s="5" t="s">
        <v>161</v>
      </c>
      <c r="P9" s="4" t="s">
        <v>115</v>
      </c>
      <c r="Q9" s="3" t="s">
        <v>162</v>
      </c>
    </row>
    <row r="10" spans="2:19" ht="29.5" thickBot="1" x14ac:dyDescent="0.4">
      <c r="B10" s="2">
        <v>44252</v>
      </c>
      <c r="C10" s="66" t="s">
        <v>19</v>
      </c>
      <c r="D10" s="66" t="s">
        <v>20</v>
      </c>
      <c r="F10" s="2">
        <v>44251</v>
      </c>
      <c r="G10" s="5" t="s">
        <v>83</v>
      </c>
      <c r="H10" s="3" t="s">
        <v>84</v>
      </c>
      <c r="J10" s="2">
        <v>44250</v>
      </c>
      <c r="K10" s="3" t="s">
        <v>111</v>
      </c>
      <c r="L10" s="3" t="s">
        <v>18</v>
      </c>
      <c r="N10" s="2">
        <v>44248</v>
      </c>
      <c r="O10" s="68" t="s">
        <v>163</v>
      </c>
      <c r="P10" s="66" t="s">
        <v>20</v>
      </c>
      <c r="Q10" s="66" t="s">
        <v>164</v>
      </c>
    </row>
    <row r="11" spans="2:19" ht="18.5" thickBot="1" x14ac:dyDescent="0.4">
      <c r="B11" s="2">
        <v>44259</v>
      </c>
      <c r="C11" s="75"/>
      <c r="D11" s="75"/>
      <c r="F11" s="2">
        <v>44258</v>
      </c>
      <c r="G11" s="68" t="s">
        <v>81</v>
      </c>
      <c r="H11" s="70" t="s">
        <v>82</v>
      </c>
      <c r="J11" s="2">
        <v>44256</v>
      </c>
      <c r="K11" s="5" t="s">
        <v>109</v>
      </c>
      <c r="L11" s="6" t="s">
        <v>110</v>
      </c>
      <c r="N11" s="2">
        <v>44255</v>
      </c>
      <c r="O11" s="69"/>
      <c r="P11" s="67"/>
      <c r="Q11" s="67"/>
    </row>
    <row r="12" spans="2:19" ht="58.5" thickBot="1" x14ac:dyDescent="0.4">
      <c r="B12" s="2">
        <v>44266</v>
      </c>
      <c r="C12" s="75"/>
      <c r="D12" s="75"/>
      <c r="F12" s="2">
        <v>44265</v>
      </c>
      <c r="G12" s="84"/>
      <c r="H12" s="85"/>
      <c r="J12" s="2">
        <v>44263</v>
      </c>
      <c r="K12" s="3" t="s">
        <v>112</v>
      </c>
      <c r="L12" s="3" t="s">
        <v>113</v>
      </c>
      <c r="N12" s="2">
        <v>44262</v>
      </c>
      <c r="O12" s="3" t="s">
        <v>165</v>
      </c>
      <c r="P12" s="3" t="s">
        <v>117</v>
      </c>
      <c r="Q12" s="3" t="s">
        <v>166</v>
      </c>
    </row>
    <row r="13" spans="2:19" ht="36.5" thickBot="1" x14ac:dyDescent="0.4">
      <c r="B13" s="2">
        <v>44273</v>
      </c>
      <c r="C13" s="67"/>
      <c r="D13" s="67"/>
      <c r="F13" s="2">
        <v>44272</v>
      </c>
      <c r="G13" s="84"/>
      <c r="H13" s="85"/>
      <c r="J13" s="2">
        <v>44270</v>
      </c>
      <c r="K13" s="5" t="s">
        <v>114</v>
      </c>
      <c r="L13" s="4" t="s">
        <v>115</v>
      </c>
      <c r="N13" s="2">
        <v>44269</v>
      </c>
      <c r="O13" s="5" t="s">
        <v>163</v>
      </c>
      <c r="P13" s="6" t="s">
        <v>20</v>
      </c>
      <c r="Q13" s="6" t="s">
        <v>164</v>
      </c>
    </row>
    <row r="14" spans="2:19" ht="44" thickBot="1" x14ac:dyDescent="0.4">
      <c r="B14" s="2">
        <v>44280</v>
      </c>
      <c r="C14" s="5" t="s">
        <v>21</v>
      </c>
      <c r="D14" s="3" t="s">
        <v>22</v>
      </c>
      <c r="F14" s="2">
        <v>44279</v>
      </c>
      <c r="G14" s="84"/>
      <c r="H14" s="85"/>
      <c r="J14" s="2">
        <v>44277</v>
      </c>
      <c r="K14" s="5" t="s">
        <v>116</v>
      </c>
      <c r="L14" s="3" t="s">
        <v>117</v>
      </c>
      <c r="N14" s="2">
        <v>44276</v>
      </c>
      <c r="O14" s="5" t="s">
        <v>167</v>
      </c>
      <c r="P14" s="3" t="s">
        <v>168</v>
      </c>
      <c r="Q14" s="3" t="s">
        <v>169</v>
      </c>
    </row>
    <row r="15" spans="2:19" ht="73" thickBot="1" x14ac:dyDescent="0.4">
      <c r="B15" s="2">
        <v>44287</v>
      </c>
      <c r="C15" s="5" t="s">
        <v>23</v>
      </c>
      <c r="D15" s="3" t="s">
        <v>24</v>
      </c>
      <c r="F15" s="2">
        <v>44286</v>
      </c>
      <c r="G15" s="84"/>
      <c r="H15" s="85"/>
      <c r="J15" s="2">
        <v>44284</v>
      </c>
      <c r="K15" s="3" t="s">
        <v>118</v>
      </c>
      <c r="L15" s="3" t="s">
        <v>119</v>
      </c>
      <c r="N15" s="2">
        <v>44283</v>
      </c>
      <c r="O15" s="5" t="s">
        <v>163</v>
      </c>
      <c r="P15" s="6" t="s">
        <v>20</v>
      </c>
      <c r="Q15" s="6" t="s">
        <v>164</v>
      </c>
    </row>
    <row r="16" spans="2:19" ht="58.5" thickBot="1" x14ac:dyDescent="0.4">
      <c r="B16" s="2">
        <v>44294</v>
      </c>
      <c r="C16" s="5" t="s">
        <v>25</v>
      </c>
      <c r="D16" s="3" t="s">
        <v>26</v>
      </c>
      <c r="F16" s="2">
        <v>44293</v>
      </c>
      <c r="G16" s="84"/>
      <c r="H16" s="85"/>
      <c r="J16" s="2">
        <v>44291</v>
      </c>
      <c r="K16" s="5" t="s">
        <v>120</v>
      </c>
      <c r="L16" s="3" t="s">
        <v>121</v>
      </c>
      <c r="N16" s="2">
        <v>44290</v>
      </c>
      <c r="O16" s="5" t="s">
        <v>170</v>
      </c>
      <c r="P16" s="3" t="s">
        <v>171</v>
      </c>
      <c r="Q16" s="3" t="s">
        <v>172</v>
      </c>
    </row>
    <row r="17" spans="2:17" ht="18.5" thickBot="1" x14ac:dyDescent="0.4">
      <c r="B17" s="2">
        <v>44301</v>
      </c>
      <c r="C17" s="5" t="s">
        <v>27</v>
      </c>
      <c r="D17" s="3" t="s">
        <v>28</v>
      </c>
      <c r="F17" s="2">
        <v>44300</v>
      </c>
      <c r="G17" s="84"/>
      <c r="H17" s="85"/>
      <c r="J17" s="2">
        <v>44298</v>
      </c>
      <c r="K17" s="66" t="s">
        <v>122</v>
      </c>
      <c r="L17" s="66" t="s">
        <v>123</v>
      </c>
      <c r="N17" s="2">
        <v>44297</v>
      </c>
      <c r="O17" s="5" t="s">
        <v>163</v>
      </c>
      <c r="P17" s="6" t="s">
        <v>20</v>
      </c>
      <c r="Q17" s="6" t="s">
        <v>164</v>
      </c>
    </row>
    <row r="18" spans="2:17" ht="44" thickBot="1" x14ac:dyDescent="0.4">
      <c r="B18" s="2">
        <v>44308</v>
      </c>
      <c r="C18" s="3" t="s">
        <v>29</v>
      </c>
      <c r="D18" s="3" t="s">
        <v>30</v>
      </c>
      <c r="F18" s="2">
        <v>44307</v>
      </c>
      <c r="G18" s="84"/>
      <c r="H18" s="85"/>
      <c r="J18" s="2">
        <v>44305</v>
      </c>
      <c r="K18" s="75"/>
      <c r="L18" s="75"/>
      <c r="N18" s="2">
        <v>44304</v>
      </c>
      <c r="O18" s="66" t="s">
        <v>173</v>
      </c>
      <c r="P18" s="66" t="s">
        <v>174</v>
      </c>
      <c r="Q18" s="70" t="s">
        <v>175</v>
      </c>
    </row>
    <row r="19" spans="2:17" ht="15" thickBot="1" x14ac:dyDescent="0.4">
      <c r="B19" s="2">
        <v>44315</v>
      </c>
      <c r="C19" s="5" t="s">
        <v>31</v>
      </c>
      <c r="D19" s="3" t="s">
        <v>32</v>
      </c>
      <c r="F19" s="2">
        <v>44314</v>
      </c>
      <c r="G19" s="69"/>
      <c r="H19" s="71"/>
      <c r="J19" s="2">
        <v>44311</v>
      </c>
      <c r="K19" s="67"/>
      <c r="L19" s="67"/>
      <c r="N19" s="2">
        <v>44311</v>
      </c>
      <c r="O19" s="67"/>
      <c r="P19" s="67"/>
      <c r="Q19" s="71"/>
    </row>
    <row r="20" spans="2:17" ht="44" thickBot="1" x14ac:dyDescent="0.4">
      <c r="B20" s="2">
        <v>44322</v>
      </c>
      <c r="C20" s="5" t="s">
        <v>33</v>
      </c>
      <c r="D20" s="3" t="s">
        <v>34</v>
      </c>
      <c r="F20" s="2">
        <v>44321</v>
      </c>
      <c r="G20" s="5" t="s">
        <v>85</v>
      </c>
      <c r="H20" s="6" t="s">
        <v>34</v>
      </c>
      <c r="J20" s="2">
        <v>44319</v>
      </c>
      <c r="K20" s="5" t="s">
        <v>124</v>
      </c>
      <c r="L20" s="3" t="s">
        <v>36</v>
      </c>
      <c r="N20" s="2">
        <v>44318</v>
      </c>
      <c r="O20" s="5" t="s">
        <v>176</v>
      </c>
      <c r="P20" s="3" t="s">
        <v>36</v>
      </c>
      <c r="Q20" s="3" t="s">
        <v>177</v>
      </c>
    </row>
    <row r="21" spans="2:17" ht="29.5" thickBot="1" x14ac:dyDescent="0.4">
      <c r="B21" s="2">
        <v>44329</v>
      </c>
      <c r="C21" s="5" t="s">
        <v>35</v>
      </c>
      <c r="D21" s="3" t="s">
        <v>36</v>
      </c>
      <c r="F21" s="2">
        <v>44328</v>
      </c>
      <c r="G21" s="5" t="s">
        <v>86</v>
      </c>
      <c r="H21" s="3" t="s">
        <v>36</v>
      </c>
      <c r="J21" s="2">
        <v>44326</v>
      </c>
      <c r="K21" s="5" t="s">
        <v>125</v>
      </c>
      <c r="L21" s="3" t="s">
        <v>34</v>
      </c>
      <c r="N21" s="2">
        <v>44325</v>
      </c>
      <c r="O21" s="5" t="s">
        <v>178</v>
      </c>
      <c r="P21" s="3" t="s">
        <v>34</v>
      </c>
      <c r="Q21" s="6" t="s">
        <v>172</v>
      </c>
    </row>
    <row r="22" spans="2:17" ht="43" customHeight="1" thickBot="1" x14ac:dyDescent="0.4">
      <c r="B22" s="2">
        <v>44336</v>
      </c>
      <c r="C22" s="68" t="s">
        <v>37</v>
      </c>
      <c r="D22" s="66" t="s">
        <v>38</v>
      </c>
      <c r="F22" s="2">
        <v>44335</v>
      </c>
      <c r="G22" s="3" t="s">
        <v>87</v>
      </c>
      <c r="H22" s="4" t="s">
        <v>88</v>
      </c>
      <c r="J22" s="2">
        <v>44333</v>
      </c>
      <c r="K22" s="5" t="s">
        <v>126</v>
      </c>
      <c r="L22" s="3" t="s">
        <v>66</v>
      </c>
      <c r="N22" s="2">
        <v>44332</v>
      </c>
      <c r="O22" s="5" t="s">
        <v>179</v>
      </c>
      <c r="P22" s="6" t="s">
        <v>66</v>
      </c>
      <c r="Q22" s="6" t="s">
        <v>157</v>
      </c>
    </row>
    <row r="23" spans="2:17" ht="87.5" thickBot="1" x14ac:dyDescent="0.4">
      <c r="B23" s="2">
        <v>44343</v>
      </c>
      <c r="C23" s="69"/>
      <c r="D23" s="67"/>
      <c r="F23" s="2">
        <v>44342</v>
      </c>
      <c r="G23" s="68" t="s">
        <v>81</v>
      </c>
      <c r="H23" s="70" t="s">
        <v>82</v>
      </c>
      <c r="J23" s="2">
        <v>44340</v>
      </c>
      <c r="K23" s="3" t="s">
        <v>127</v>
      </c>
      <c r="L23" s="3" t="s">
        <v>38</v>
      </c>
      <c r="N23" s="2">
        <v>44339</v>
      </c>
      <c r="O23" s="5" t="s">
        <v>180</v>
      </c>
      <c r="P23" s="3" t="s">
        <v>38</v>
      </c>
      <c r="Q23" s="6" t="s">
        <v>162</v>
      </c>
    </row>
    <row r="24" spans="2:17" ht="29.5" thickBot="1" x14ac:dyDescent="0.4">
      <c r="B24" s="2">
        <v>44350</v>
      </c>
      <c r="C24" s="5" t="s">
        <v>39</v>
      </c>
      <c r="D24" s="6" t="s">
        <v>26</v>
      </c>
      <c r="F24" s="2">
        <v>44349</v>
      </c>
      <c r="G24" s="84"/>
      <c r="H24" s="85"/>
      <c r="J24" s="2">
        <v>44347</v>
      </c>
      <c r="K24" s="68" t="s">
        <v>126</v>
      </c>
      <c r="L24" s="70" t="s">
        <v>66</v>
      </c>
      <c r="N24" s="2">
        <v>44346</v>
      </c>
      <c r="O24" s="5" t="s">
        <v>181</v>
      </c>
      <c r="P24" s="3" t="s">
        <v>182</v>
      </c>
      <c r="Q24" s="6" t="s">
        <v>157</v>
      </c>
    </row>
    <row r="25" spans="2:17" ht="29.5" thickBot="1" x14ac:dyDescent="0.4">
      <c r="B25" s="2">
        <v>44357</v>
      </c>
      <c r="C25" s="3" t="s">
        <v>40</v>
      </c>
      <c r="D25" s="3" t="s">
        <v>41</v>
      </c>
      <c r="F25" s="2">
        <v>44356</v>
      </c>
      <c r="G25" s="84"/>
      <c r="H25" s="85"/>
      <c r="J25" s="2">
        <v>44354</v>
      </c>
      <c r="K25" s="69"/>
      <c r="L25" s="71"/>
      <c r="N25" s="2">
        <v>44353</v>
      </c>
      <c r="O25" s="5" t="s">
        <v>183</v>
      </c>
      <c r="P25" s="3" t="s">
        <v>184</v>
      </c>
      <c r="Q25" s="6" t="s">
        <v>185</v>
      </c>
    </row>
    <row r="26" spans="2:17" ht="29.5" thickBot="1" x14ac:dyDescent="0.4">
      <c r="B26" s="2">
        <v>44364</v>
      </c>
      <c r="C26" s="5" t="s">
        <v>42</v>
      </c>
      <c r="D26" s="3" t="s">
        <v>43</v>
      </c>
      <c r="F26" s="2">
        <v>44363</v>
      </c>
      <c r="G26" s="84"/>
      <c r="H26" s="85"/>
      <c r="J26" s="2">
        <v>44361</v>
      </c>
      <c r="K26" s="5" t="s">
        <v>128</v>
      </c>
      <c r="L26" s="3" t="s">
        <v>43</v>
      </c>
      <c r="N26" s="2">
        <v>44360</v>
      </c>
      <c r="O26" s="5" t="s">
        <v>186</v>
      </c>
      <c r="P26" s="3" t="s">
        <v>43</v>
      </c>
      <c r="Q26" s="6" t="s">
        <v>164</v>
      </c>
    </row>
    <row r="27" spans="2:17" ht="44" thickBot="1" x14ac:dyDescent="0.4">
      <c r="B27" s="2">
        <v>44371</v>
      </c>
      <c r="C27" s="66" t="s">
        <v>44</v>
      </c>
      <c r="D27" s="66" t="s">
        <v>45</v>
      </c>
      <c r="F27" s="2">
        <v>44370</v>
      </c>
      <c r="G27" s="84"/>
      <c r="H27" s="85"/>
      <c r="J27" s="2">
        <v>44368</v>
      </c>
      <c r="K27" s="3" t="s">
        <v>129</v>
      </c>
      <c r="L27" s="3" t="s">
        <v>130</v>
      </c>
      <c r="N27" s="2">
        <v>44367</v>
      </c>
      <c r="O27" s="3" t="s">
        <v>187</v>
      </c>
      <c r="P27" s="3" t="s">
        <v>188</v>
      </c>
      <c r="Q27" s="3" t="s">
        <v>189</v>
      </c>
    </row>
    <row r="28" spans="2:17" ht="87.5" thickBot="1" x14ac:dyDescent="0.4">
      <c r="B28" s="2">
        <v>44378</v>
      </c>
      <c r="C28" s="75"/>
      <c r="D28" s="75"/>
      <c r="F28" s="2">
        <v>44377</v>
      </c>
      <c r="G28" s="69"/>
      <c r="H28" s="71"/>
      <c r="J28" s="2">
        <v>44375</v>
      </c>
      <c r="K28" s="5" t="s">
        <v>131</v>
      </c>
      <c r="L28" s="3" t="s">
        <v>132</v>
      </c>
      <c r="N28" s="2">
        <v>44374</v>
      </c>
      <c r="O28" s="68" t="s">
        <v>190</v>
      </c>
      <c r="P28" s="76" t="s">
        <v>191</v>
      </c>
      <c r="Q28" s="70" t="s">
        <v>162</v>
      </c>
    </row>
    <row r="29" spans="2:17" ht="44" thickBot="1" x14ac:dyDescent="0.4">
      <c r="B29" s="2">
        <v>44385</v>
      </c>
      <c r="C29" s="75"/>
      <c r="D29" s="75"/>
      <c r="F29" s="2">
        <v>44384</v>
      </c>
      <c r="G29" s="5" t="s">
        <v>89</v>
      </c>
      <c r="H29" s="3" t="s">
        <v>90</v>
      </c>
      <c r="J29" s="2">
        <v>44382</v>
      </c>
      <c r="K29" s="68" t="s">
        <v>133</v>
      </c>
      <c r="L29" s="66" t="s">
        <v>90</v>
      </c>
      <c r="N29" s="2">
        <v>44381</v>
      </c>
      <c r="O29" s="69"/>
      <c r="P29" s="77"/>
      <c r="Q29" s="71"/>
    </row>
    <row r="30" spans="2:17" ht="27.5" thickBot="1" x14ac:dyDescent="0.4">
      <c r="B30" s="2">
        <v>44392</v>
      </c>
      <c r="C30" s="75"/>
      <c r="D30" s="75"/>
      <c r="F30" s="2">
        <v>44391</v>
      </c>
      <c r="G30" s="68" t="s">
        <v>81</v>
      </c>
      <c r="H30" s="70" t="s">
        <v>82</v>
      </c>
      <c r="J30" s="2">
        <v>44389</v>
      </c>
      <c r="K30" s="69"/>
      <c r="L30" s="67"/>
      <c r="N30" s="2">
        <v>44388</v>
      </c>
      <c r="O30" s="5" t="s">
        <v>183</v>
      </c>
      <c r="P30" s="6" t="s">
        <v>184</v>
      </c>
      <c r="Q30" s="6" t="s">
        <v>185</v>
      </c>
    </row>
    <row r="31" spans="2:17" ht="44" thickBot="1" x14ac:dyDescent="0.4">
      <c r="B31" s="2">
        <v>44399</v>
      </c>
      <c r="C31" s="75"/>
      <c r="D31" s="75"/>
      <c r="F31" s="2">
        <v>44398</v>
      </c>
      <c r="G31" s="69"/>
      <c r="H31" s="71"/>
      <c r="J31" s="2">
        <v>44396</v>
      </c>
      <c r="K31" s="68" t="s">
        <v>129</v>
      </c>
      <c r="L31" s="70" t="s">
        <v>130</v>
      </c>
      <c r="N31" s="2">
        <v>44395</v>
      </c>
      <c r="O31" s="5" t="s">
        <v>192</v>
      </c>
      <c r="P31" s="3" t="s">
        <v>193</v>
      </c>
      <c r="Q31" s="3" t="s">
        <v>194</v>
      </c>
    </row>
    <row r="32" spans="2:17" ht="29.5" thickBot="1" x14ac:dyDescent="0.4">
      <c r="B32" s="2">
        <v>44406</v>
      </c>
      <c r="C32" s="67"/>
      <c r="D32" s="67"/>
      <c r="F32" s="2">
        <v>44405</v>
      </c>
      <c r="G32" s="5" t="s">
        <v>91</v>
      </c>
      <c r="H32" s="3" t="s">
        <v>43</v>
      </c>
      <c r="J32" s="2">
        <v>44403</v>
      </c>
      <c r="K32" s="69"/>
      <c r="L32" s="71"/>
    </row>
    <row r="33" spans="2:12" ht="29.5" thickBot="1" x14ac:dyDescent="0.4">
      <c r="B33" s="2">
        <v>44413</v>
      </c>
      <c r="C33" s="5" t="s">
        <v>46</v>
      </c>
      <c r="D33" s="3" t="s">
        <v>47</v>
      </c>
      <c r="F33" s="2">
        <v>44412</v>
      </c>
      <c r="G33" s="5" t="s">
        <v>92</v>
      </c>
      <c r="H33" s="3" t="s">
        <v>47</v>
      </c>
      <c r="J33" s="2">
        <v>44410</v>
      </c>
      <c r="K33" s="5" t="s">
        <v>134</v>
      </c>
      <c r="L33" s="3" t="s">
        <v>47</v>
      </c>
    </row>
    <row r="34" spans="2:12" ht="29.5" thickBot="1" x14ac:dyDescent="0.4">
      <c r="B34" s="2">
        <v>44420</v>
      </c>
      <c r="C34" s="66" t="s">
        <v>7</v>
      </c>
      <c r="D34" s="66" t="s">
        <v>8</v>
      </c>
      <c r="F34" s="2">
        <v>44419</v>
      </c>
      <c r="G34" s="5" t="s">
        <v>93</v>
      </c>
      <c r="H34" s="3" t="s">
        <v>34</v>
      </c>
      <c r="J34" s="2">
        <v>44417</v>
      </c>
      <c r="K34" s="5" t="s">
        <v>135</v>
      </c>
      <c r="L34" s="3" t="s">
        <v>136</v>
      </c>
    </row>
    <row r="35" spans="2:12" ht="29.5" thickBot="1" x14ac:dyDescent="0.4">
      <c r="B35" s="2">
        <v>44427</v>
      </c>
      <c r="C35" s="67"/>
      <c r="D35" s="67"/>
      <c r="F35" s="2">
        <v>44426</v>
      </c>
      <c r="G35" s="68" t="s">
        <v>81</v>
      </c>
      <c r="H35" s="70" t="s">
        <v>82</v>
      </c>
      <c r="J35" s="2">
        <v>44424</v>
      </c>
      <c r="K35" s="5" t="s">
        <v>137</v>
      </c>
      <c r="L35" s="3" t="s">
        <v>138</v>
      </c>
    </row>
    <row r="36" spans="2:12" ht="29.5" thickBot="1" x14ac:dyDescent="0.4">
      <c r="B36" s="2">
        <v>44434</v>
      </c>
      <c r="C36" s="5" t="s">
        <v>48</v>
      </c>
      <c r="D36" s="3" t="s">
        <v>49</v>
      </c>
      <c r="F36" s="2">
        <v>44433</v>
      </c>
      <c r="G36" s="84"/>
      <c r="H36" s="85"/>
      <c r="J36" s="2">
        <v>44431</v>
      </c>
      <c r="K36" s="68" t="s">
        <v>81</v>
      </c>
      <c r="L36" s="70" t="s">
        <v>82</v>
      </c>
    </row>
    <row r="37" spans="2:12" ht="15" thickBot="1" x14ac:dyDescent="0.4">
      <c r="B37" s="2">
        <v>44441</v>
      </c>
      <c r="C37" s="66" t="s">
        <v>50</v>
      </c>
      <c r="D37" s="66" t="s">
        <v>51</v>
      </c>
      <c r="F37" s="2">
        <v>44440</v>
      </c>
      <c r="G37" s="84"/>
      <c r="H37" s="85"/>
      <c r="J37" s="2">
        <v>44438</v>
      </c>
      <c r="K37" s="69"/>
      <c r="L37" s="71"/>
    </row>
    <row r="38" spans="2:12" ht="29.5" thickBot="1" x14ac:dyDescent="0.4">
      <c r="B38" s="2">
        <v>44448</v>
      </c>
      <c r="C38" s="75"/>
      <c r="D38" s="75"/>
      <c r="F38" s="2">
        <v>44447</v>
      </c>
      <c r="G38" s="69"/>
      <c r="H38" s="71"/>
      <c r="J38" s="2">
        <v>44445</v>
      </c>
      <c r="K38" s="5" t="s">
        <v>139</v>
      </c>
      <c r="L38" s="3" t="s">
        <v>26</v>
      </c>
    </row>
    <row r="39" spans="2:12" ht="29.5" thickBot="1" x14ac:dyDescent="0.4">
      <c r="B39" s="2">
        <v>44455</v>
      </c>
      <c r="C39" s="67"/>
      <c r="D39" s="67"/>
      <c r="F39" s="2">
        <v>44454</v>
      </c>
      <c r="G39" s="5" t="s">
        <v>94</v>
      </c>
      <c r="H39" s="3" t="s">
        <v>76</v>
      </c>
      <c r="J39" s="2">
        <v>44452</v>
      </c>
      <c r="K39" s="5" t="s">
        <v>140</v>
      </c>
      <c r="L39" s="3" t="s">
        <v>49</v>
      </c>
    </row>
    <row r="40" spans="2:12" ht="29.5" thickBot="1" x14ac:dyDescent="0.4">
      <c r="B40" s="2">
        <v>44462</v>
      </c>
      <c r="C40" s="5" t="s">
        <v>52</v>
      </c>
      <c r="D40" s="6" t="s">
        <v>18</v>
      </c>
      <c r="F40" s="2">
        <v>44461</v>
      </c>
      <c r="G40" s="5" t="s">
        <v>95</v>
      </c>
      <c r="H40" s="3" t="s">
        <v>84</v>
      </c>
      <c r="J40" s="2">
        <v>44459</v>
      </c>
      <c r="K40" s="5" t="s">
        <v>141</v>
      </c>
      <c r="L40" s="3" t="s">
        <v>76</v>
      </c>
    </row>
    <row r="41" spans="2:12" ht="73" thickBot="1" x14ac:dyDescent="0.4">
      <c r="B41" s="2">
        <v>44469</v>
      </c>
      <c r="C41" s="5" t="s">
        <v>53</v>
      </c>
      <c r="D41" s="3" t="s">
        <v>54</v>
      </c>
      <c r="F41" s="2">
        <v>44468</v>
      </c>
      <c r="G41" s="66" t="s">
        <v>96</v>
      </c>
      <c r="H41" s="66" t="s">
        <v>41</v>
      </c>
      <c r="J41" s="2">
        <v>44466</v>
      </c>
      <c r="K41" s="5" t="s">
        <v>142</v>
      </c>
      <c r="L41" s="3" t="s">
        <v>18</v>
      </c>
    </row>
    <row r="42" spans="2:12" ht="29.5" thickBot="1" x14ac:dyDescent="0.4">
      <c r="B42" s="2">
        <v>44476</v>
      </c>
      <c r="C42" s="5" t="s">
        <v>55</v>
      </c>
      <c r="D42" s="3" t="s">
        <v>56</v>
      </c>
      <c r="F42" s="2">
        <v>44475</v>
      </c>
      <c r="G42" s="67"/>
      <c r="H42" s="67"/>
      <c r="J42" s="2">
        <v>44473</v>
      </c>
      <c r="K42" s="5" t="s">
        <v>143</v>
      </c>
      <c r="L42" s="3" t="s">
        <v>144</v>
      </c>
    </row>
    <row r="43" spans="2:12" ht="44" thickBot="1" x14ac:dyDescent="0.4">
      <c r="B43" s="2">
        <v>44483</v>
      </c>
      <c r="C43" s="5" t="s">
        <v>57</v>
      </c>
      <c r="D43" s="3" t="s">
        <v>58</v>
      </c>
      <c r="F43" s="2">
        <v>44482</v>
      </c>
      <c r="G43" s="3" t="s">
        <v>97</v>
      </c>
      <c r="H43" s="3" t="s">
        <v>98</v>
      </c>
      <c r="J43" s="2">
        <v>44480</v>
      </c>
      <c r="K43" s="5" t="s">
        <v>145</v>
      </c>
      <c r="L43" s="3" t="s">
        <v>60</v>
      </c>
    </row>
    <row r="44" spans="2:12" ht="29.5" thickBot="1" x14ac:dyDescent="0.4">
      <c r="B44" s="2">
        <v>44490</v>
      </c>
      <c r="C44" s="5" t="s">
        <v>59</v>
      </c>
      <c r="D44" s="3" t="s">
        <v>60</v>
      </c>
      <c r="F44" s="2">
        <v>44489</v>
      </c>
      <c r="G44" s="5" t="s">
        <v>99</v>
      </c>
      <c r="H44" s="3" t="s">
        <v>36</v>
      </c>
      <c r="J44" s="2">
        <v>44487</v>
      </c>
      <c r="K44" s="5" t="s">
        <v>146</v>
      </c>
      <c r="L44" s="3" t="s">
        <v>64</v>
      </c>
    </row>
    <row r="45" spans="2:12" ht="44" thickBot="1" x14ac:dyDescent="0.4">
      <c r="B45" s="2">
        <v>44497</v>
      </c>
      <c r="C45" s="5" t="s">
        <v>61</v>
      </c>
      <c r="D45" s="3" t="s">
        <v>62</v>
      </c>
      <c r="F45" s="2">
        <v>44496</v>
      </c>
      <c r="G45" s="5" t="s">
        <v>100</v>
      </c>
      <c r="H45" s="6" t="s">
        <v>101</v>
      </c>
      <c r="J45" s="2">
        <v>44494</v>
      </c>
      <c r="K45" s="5" t="s">
        <v>147</v>
      </c>
      <c r="L45" s="3" t="s">
        <v>90</v>
      </c>
    </row>
    <row r="46" spans="2:12" ht="29.5" thickBot="1" x14ac:dyDescent="0.4">
      <c r="B46" s="2">
        <v>44504</v>
      </c>
      <c r="C46" s="5" t="s">
        <v>63</v>
      </c>
      <c r="D46" s="3" t="s">
        <v>64</v>
      </c>
      <c r="F46" s="2">
        <v>44503</v>
      </c>
      <c r="G46" s="5" t="s">
        <v>102</v>
      </c>
      <c r="H46" s="3" t="s">
        <v>66</v>
      </c>
      <c r="J46" s="2">
        <v>44501</v>
      </c>
      <c r="K46" s="68" t="s">
        <v>148</v>
      </c>
      <c r="L46" s="70" t="s">
        <v>66</v>
      </c>
    </row>
    <row r="47" spans="2:12" ht="44" thickBot="1" x14ac:dyDescent="0.4">
      <c r="B47" s="2">
        <v>44511</v>
      </c>
      <c r="C47" s="3" t="s">
        <v>65</v>
      </c>
      <c r="D47" s="3" t="s">
        <v>66</v>
      </c>
      <c r="F47" s="2">
        <v>44510</v>
      </c>
      <c r="G47" s="5" t="s">
        <v>103</v>
      </c>
      <c r="H47" s="3" t="s">
        <v>68</v>
      </c>
      <c r="J47" s="2">
        <v>44508</v>
      </c>
      <c r="K47" s="69"/>
      <c r="L47" s="71"/>
    </row>
    <row r="48" spans="2:12" ht="29.5" thickBot="1" x14ac:dyDescent="0.4">
      <c r="B48" s="2">
        <v>44518</v>
      </c>
      <c r="C48" s="5" t="s">
        <v>67</v>
      </c>
      <c r="D48" s="3" t="s">
        <v>68</v>
      </c>
      <c r="F48" s="2">
        <v>44517</v>
      </c>
      <c r="G48" s="68" t="s">
        <v>104</v>
      </c>
      <c r="H48" s="66" t="s">
        <v>70</v>
      </c>
      <c r="J48" s="2">
        <v>44515</v>
      </c>
      <c r="K48" s="5" t="s">
        <v>149</v>
      </c>
      <c r="L48" s="4" t="s">
        <v>150</v>
      </c>
    </row>
    <row r="49" spans="2:12" ht="44" thickBot="1" x14ac:dyDescent="0.4">
      <c r="B49" s="2">
        <v>44525</v>
      </c>
      <c r="C49" s="5" t="s">
        <v>69</v>
      </c>
      <c r="D49" s="3" t="s">
        <v>70</v>
      </c>
      <c r="F49" s="2">
        <v>44524</v>
      </c>
      <c r="G49" s="69"/>
      <c r="H49" s="67"/>
      <c r="J49" s="2">
        <v>44522</v>
      </c>
      <c r="K49" s="5" t="s">
        <v>151</v>
      </c>
      <c r="L49" s="3" t="s">
        <v>72</v>
      </c>
    </row>
    <row r="50" spans="2:12" ht="44" thickBot="1" x14ac:dyDescent="0.4">
      <c r="B50" s="2">
        <v>44532</v>
      </c>
      <c r="C50" s="5" t="s">
        <v>71</v>
      </c>
      <c r="D50" s="3" t="s">
        <v>72</v>
      </c>
      <c r="F50" s="2">
        <v>44531</v>
      </c>
      <c r="G50" s="5" t="s">
        <v>105</v>
      </c>
      <c r="H50" s="3" t="s">
        <v>72</v>
      </c>
      <c r="J50" s="2">
        <v>44529</v>
      </c>
      <c r="K50" s="5" t="s">
        <v>152</v>
      </c>
      <c r="L50" s="3" t="s">
        <v>68</v>
      </c>
    </row>
    <row r="51" spans="2:12" ht="44" thickBot="1" x14ac:dyDescent="0.4">
      <c r="B51" s="2">
        <v>44539</v>
      </c>
      <c r="C51" s="3" t="s">
        <v>73</v>
      </c>
      <c r="D51" s="3" t="s">
        <v>74</v>
      </c>
      <c r="F51" s="2">
        <v>44538</v>
      </c>
      <c r="G51" s="5" t="s">
        <v>106</v>
      </c>
      <c r="H51" s="6" t="s">
        <v>34</v>
      </c>
      <c r="J51" s="2">
        <v>44536</v>
      </c>
      <c r="K51" s="3" t="s">
        <v>153</v>
      </c>
      <c r="L51" s="3" t="s">
        <v>154</v>
      </c>
    </row>
    <row r="52" spans="2:12" ht="29.5" thickBot="1" x14ac:dyDescent="0.4">
      <c r="B52" s="2">
        <v>44546</v>
      </c>
      <c r="C52" s="5" t="s">
        <v>75</v>
      </c>
      <c r="D52" s="3" t="s">
        <v>76</v>
      </c>
      <c r="F52" s="2">
        <v>44545</v>
      </c>
      <c r="G52" s="5" t="s">
        <v>107</v>
      </c>
      <c r="H52" s="6" t="s">
        <v>43</v>
      </c>
      <c r="J52" s="2">
        <v>44543</v>
      </c>
      <c r="K52" s="66" t="s">
        <v>155</v>
      </c>
      <c r="L52" s="66" t="s">
        <v>30</v>
      </c>
    </row>
    <row r="53" spans="2:12" ht="29.5" thickBot="1" x14ac:dyDescent="0.4">
      <c r="B53" s="2">
        <v>44553</v>
      </c>
      <c r="C53" s="3" t="s">
        <v>77</v>
      </c>
      <c r="D53" s="3" t="s">
        <v>43</v>
      </c>
      <c r="F53" s="2">
        <v>44552</v>
      </c>
      <c r="G53" s="5" t="s">
        <v>102</v>
      </c>
      <c r="H53" s="6" t="s">
        <v>66</v>
      </c>
      <c r="J53" s="2">
        <v>44550</v>
      </c>
      <c r="K53" s="75"/>
      <c r="L53" s="75"/>
    </row>
    <row r="54" spans="2:12" ht="29.5" thickBot="1" x14ac:dyDescent="0.4">
      <c r="B54" s="2">
        <v>44560</v>
      </c>
      <c r="C54" s="5" t="s">
        <v>65</v>
      </c>
      <c r="D54" s="3" t="s">
        <v>66</v>
      </c>
      <c r="F54" s="2">
        <v>44559</v>
      </c>
      <c r="G54" s="5" t="s">
        <v>108</v>
      </c>
      <c r="H54" s="6" t="s">
        <v>82</v>
      </c>
      <c r="J54" s="2">
        <v>44557</v>
      </c>
      <c r="K54" s="67"/>
      <c r="L54" s="67"/>
    </row>
  </sheetData>
  <mergeCells count="63">
    <mergeCell ref="C37:C39"/>
    <mergeCell ref="D37:D39"/>
    <mergeCell ref="C5:C6"/>
    <mergeCell ref="D5:D6"/>
    <mergeCell ref="C10:C13"/>
    <mergeCell ref="D10:D13"/>
    <mergeCell ref="C22:C23"/>
    <mergeCell ref="D22:D23"/>
    <mergeCell ref="G23:G28"/>
    <mergeCell ref="H23:H28"/>
    <mergeCell ref="C27:C32"/>
    <mergeCell ref="D27:D32"/>
    <mergeCell ref="C34:C35"/>
    <mergeCell ref="D34:D35"/>
    <mergeCell ref="B1:D1"/>
    <mergeCell ref="G7:G9"/>
    <mergeCell ref="H7:H9"/>
    <mergeCell ref="G11:G19"/>
    <mergeCell ref="H11:H19"/>
    <mergeCell ref="G48:G49"/>
    <mergeCell ref="H48:H49"/>
    <mergeCell ref="F1:H1"/>
    <mergeCell ref="K3:K7"/>
    <mergeCell ref="L3:L7"/>
    <mergeCell ref="K8:K9"/>
    <mergeCell ref="L8:L9"/>
    <mergeCell ref="K17:K19"/>
    <mergeCell ref="L17:L19"/>
    <mergeCell ref="K24:K25"/>
    <mergeCell ref="G30:G31"/>
    <mergeCell ref="H30:H31"/>
    <mergeCell ref="G35:G38"/>
    <mergeCell ref="H35:H38"/>
    <mergeCell ref="G41:G42"/>
    <mergeCell ref="H41:H42"/>
    <mergeCell ref="K52:K54"/>
    <mergeCell ref="L52:L54"/>
    <mergeCell ref="J1:L1"/>
    <mergeCell ref="O3:O4"/>
    <mergeCell ref="O18:O19"/>
    <mergeCell ref="L24:L25"/>
    <mergeCell ref="K29:K30"/>
    <mergeCell ref="L29:L30"/>
    <mergeCell ref="K31:K32"/>
    <mergeCell ref="L31:L32"/>
    <mergeCell ref="K36:K37"/>
    <mergeCell ref="L36:L37"/>
    <mergeCell ref="O10:O11"/>
    <mergeCell ref="P10:P11"/>
    <mergeCell ref="Q10:Q11"/>
    <mergeCell ref="K46:K47"/>
    <mergeCell ref="L46:L47"/>
    <mergeCell ref="N1:Q1"/>
    <mergeCell ref="P3:P4"/>
    <mergeCell ref="Q3:Q4"/>
    <mergeCell ref="O5:O8"/>
    <mergeCell ref="P5:P8"/>
    <mergeCell ref="Q5:Q8"/>
    <mergeCell ref="P18:P19"/>
    <mergeCell ref="Q18:Q19"/>
    <mergeCell ref="O28:O29"/>
    <mergeCell ref="P28:P29"/>
    <mergeCell ref="Q28:Q29"/>
  </mergeCells>
  <hyperlinks>
    <hyperlink ref="C3" r:id="rId1" display="https://en.wikipedia.org/wiki/Origin_(Brown_novel)" xr:uid="{CEBBB155-3AB8-4EB1-BB54-CF5BF954FC60}"/>
    <hyperlink ref="D3" r:id="rId2" display="https://en.wikipedia.org/wiki/Dan_Brown" xr:uid="{6462D015-EA78-40E1-A299-2084951CF009}"/>
    <hyperlink ref="D4" r:id="rId3" tooltip="James Patterson" display="https://en.wikipedia.org/wiki/James_Patterson" xr:uid="{DED79ECA-5936-4EDB-83DD-675F781483D5}"/>
    <hyperlink ref="C5" r:id="rId4" tooltip="Origin (Brown novel)" display="https://en.wikipedia.org/wiki/The_Woman_in_the_Window_(novel)" xr:uid="{E3452316-70D9-407A-9C4A-9F923738825B}"/>
    <hyperlink ref="D5" r:id="rId5" tooltip="A.J. Finn" display="https://en.wikipedia.org/wiki/A.J._Finn" xr:uid="{0F3014CC-47F9-4B63-B1EB-C7CC42F91FF8}"/>
    <hyperlink ref="C7" r:id="rId6" tooltip="City of Endless Night" display="https://en.wikipedia.org/wiki/City_of_Endless_Night" xr:uid="{DDE5B35E-2942-4A40-A06D-87D96A3C2F3A}"/>
    <hyperlink ref="D8" r:id="rId7" display="https://en.wikipedia.org/wiki/Christine_Feehan" xr:uid="{433D0409-47E2-40A6-B86D-C63992E61310}"/>
    <hyperlink ref="D9" r:id="rId8" tooltip="Nora Roberts" display="https://en.wikipedia.org/wiki/Nora_Roberts" xr:uid="{68714E26-FC55-4930-B100-89777831EE39}"/>
    <hyperlink ref="C10" r:id="rId9" tooltip="The Great Alone" display="https://en.wikipedia.org/wiki/The_Great_Alone" xr:uid="{9EADA128-6B78-4A0F-89DB-20E9BCAEF9F4}"/>
    <hyperlink ref="D10" r:id="rId10" tooltip="The New York Times Fiction Best Sellers of 1999" display="https://en.wikipedia.org/wiki/Kristin_Hannah" xr:uid="{3E84FA84-1140-4BCB-AD59-0D0E381CEE7F}"/>
    <hyperlink ref="D14" r:id="rId11" tooltip="Patricia Briggs" display="https://en.wikipedia.org/wiki/Patricia_Briggs" xr:uid="{86F25B1A-760F-426F-B07E-1CB6A6096AC6}"/>
    <hyperlink ref="D15" r:id="rId12" tooltip="Clive Cussler" display="https://en.wikipedia.org/wiki/Clive_Cussler" xr:uid="{1F061C48-3750-4A5F-8724-AF0AB4288B62}"/>
    <hyperlink ref="D16" r:id="rId13" tooltip="Danielle Steel" display="https://en.wikipedia.org/wiki/Danielle_Steel" xr:uid="{2271F3CA-1201-4D6A-AB98-2F3F4598073A}"/>
    <hyperlink ref="D17" r:id="rId14" tooltip="C. J. Box" display="https://en.wikipedia.org/wiki/C._J._Box" xr:uid="{FC047E4D-33B4-40AC-BE50-1EA61275ED67}"/>
    <hyperlink ref="C18" r:id="rId15" tooltip="Ready Player One" display="https://en.wikipedia.org/wiki/Ready_Player_One" xr:uid="{B4ED31BB-A487-446D-9DD2-FED813671DFA}"/>
    <hyperlink ref="D18" r:id="rId16" tooltip="Ernest Cline" display="https://en.wikipedia.org/wiki/Ernest_Cline" xr:uid="{92B7ED34-F532-4789-982D-FBA81F3FC8B6}"/>
    <hyperlink ref="D19" r:id="rId17" tooltip="Jessica Bird" display="https://en.wikipedia.org/wiki/Jessica_Bird" xr:uid="{12601A4A-128C-45A4-A301-65D4C131360C}"/>
    <hyperlink ref="D20" r:id="rId18" tooltip="David Baldacci" display="https://en.wikipedia.org/wiki/David_Baldacci" xr:uid="{F43AC9B6-6719-4552-9AB3-5B13C17CF8DF}"/>
    <hyperlink ref="D21" r:id="rId19" tooltip="John Sandford (novelist)" display="https://en.wikipedia.org/wiki/John_Sandford_(novelist)" xr:uid="{E7500E8C-E70C-4599-A5A8-6208D38741A7}"/>
    <hyperlink ref="D22" r:id="rId20" tooltip="Maxine Paetro" display="https://en.wikipedia.org/wiki/Maxine_Paetro" xr:uid="{65EEB5CF-FAA1-439B-B2CA-1D254891C5D7}"/>
    <hyperlink ref="C25" r:id="rId21" tooltip="The Outsider (King novel)" display="https://en.wikipedia.org/wiki/The_Outsider_(King_novel)" xr:uid="{2A5DBAB9-934E-4CE6-86A1-B59CF3AAC202}"/>
    <hyperlink ref="D25" r:id="rId22" tooltip="Stephen King" display="https://en.wikipedia.org/wiki/Stephen_King" xr:uid="{02A62EB9-1507-4426-893F-4AB14423E212}"/>
    <hyperlink ref="D26" r:id="rId23" tooltip="Nora Roberts" display="https://en.wikipedia.org/wiki/Nora_Roberts" xr:uid="{9D614640-73EA-4272-93DB-306F002C06E3}"/>
    <hyperlink ref="C27" r:id="rId24" tooltip="The President Is Missing (novel)" display="https://en.wikipedia.org/wiki/The_President_Is_Missing_(novel)" xr:uid="{3B7BA9A4-BA2A-413E-97D2-EDFB11E6A25C}"/>
    <hyperlink ref="D27" r:id="rId25" tooltip="Bill Clinton" display="https://en.wikipedia.org/wiki/Bill_Clinton" xr:uid="{8E75A45F-1CC2-4DDE-B84E-B01758EB98CE}"/>
    <hyperlink ref="D33" r:id="rId26" tooltip="Daniel Silva (novelist)" display="https://en.wikipedia.org/wiki/Daniel_Silva_(novelist)" xr:uid="{B893092A-03D4-4F48-8099-F06396AEFD39}"/>
    <hyperlink ref="C34" r:id="rId27" tooltip="Origin (Brown novel)" display="https://en.wikipedia.org/wiki/Origin_(Brown_novel)" xr:uid="{5E9946E5-0B2B-4180-B7BC-9B179D42988B}"/>
    <hyperlink ref="D34" r:id="rId28" tooltip="Dan Brown" display="https://en.wikipedia.org/wiki/Dan_Brown" xr:uid="{AA3102CE-C2E4-47F6-AF49-F852CFAD859A}"/>
    <hyperlink ref="D36" r:id="rId29" tooltip="Sandra Brown" display="https://en.wikipedia.org/wiki/Sandra_Brown" xr:uid="{F64D2E6F-2E2D-4A51-82AD-9284527C9960}"/>
    <hyperlink ref="C37" r:id="rId30" tooltip="Crazy Rich Asians" display="https://en.wikipedia.org/wiki/Crazy_Rich_Asians" xr:uid="{AF0AEA2C-DB0A-4AB3-890F-E627FE63F9A0}"/>
    <hyperlink ref="D37" r:id="rId31" tooltip="Kevin Kwan" display="https://en.wikipedia.org/wiki/Kevin_Kwan" xr:uid="{F4B14E3A-6F73-45E6-81FD-5B567A45EFF3}"/>
    <hyperlink ref="D41" r:id="rId32" tooltip="James Patterson" display="https://en.wikipedia.org/wiki/James_Patterson" xr:uid="{D1A31919-B2B0-4742-9E77-7D8622EA849D}"/>
    <hyperlink ref="D42" r:id="rId33" tooltip="J.K. Rowling" display="https://en.wikipedia.org/wiki/J.K._Rowling" xr:uid="{5C56BBEC-5CCD-4570-BDD4-1040534A5E62}"/>
    <hyperlink ref="D43" r:id="rId34" tooltip="Kyle Mills (author)" display="https://en.wikipedia.org/wiki/Kyle_Mills_(author)" xr:uid="{4A17B030-B1D7-4156-8EA8-6A3C54DFE239}"/>
    <hyperlink ref="D44" r:id="rId35" tooltip="Jodi Picoult" display="https://en.wikipedia.org/wiki/Jodi_Picoult" xr:uid="{0E39C232-759A-4132-8833-E30DA191366B}"/>
    <hyperlink ref="D45" r:id="rId36" tooltip="John Sanford (author)" display="https://en.wikipedia.org/wiki/John_Sanford_(author)" xr:uid="{A6031F25-08CC-4737-8105-3638D52810AF}"/>
    <hyperlink ref="D46" r:id="rId37" tooltip="Nicholas Sparks" display="https://en.wikipedia.org/wiki/Nicholas_Sparks" xr:uid="{B3413976-60C6-4190-BD79-5304C717EB78}"/>
    <hyperlink ref="C47" r:id="rId38" tooltip="The Reckoning (Grisham novel)" display="https://en.wikipedia.org/wiki/The_Reckoning_(Grisham_novel)" xr:uid="{C0CA87B1-BF06-44C5-8E24-3F041F357290}"/>
    <hyperlink ref="D47" r:id="rId39" tooltip="John Grisham" display="https://en.wikipedia.org/wiki/John_Grisham" xr:uid="{C4EE3D12-8FBA-47C2-B0D5-F0FA7EA7A057}"/>
    <hyperlink ref="D48" r:id="rId40" tooltip="Michael Connelly" display="https://en.wikipedia.org/wiki/Michael_Connelly" xr:uid="{CCAAC359-D16A-4567-B580-1E9940AD67C3}"/>
    <hyperlink ref="D49" r:id="rId41" tooltip="Lee Child" display="https://en.wikipedia.org/wiki/Lee_Child" xr:uid="{52DCF743-5BF8-4E81-92FB-7E36AE959ECE}"/>
    <hyperlink ref="D50" r:id="rId42" tooltip="Janet Evanovich" display="https://en.wikipedia.org/wiki/Janet_Evanovich" xr:uid="{938185CA-839E-4D5E-BE30-D226649A67E8}"/>
    <hyperlink ref="C51" r:id="rId43" tooltip="Fire &amp; Blood (novel)" display="https://en.wikipedia.org/wiki/Fire_%26_Blood_(novel)" xr:uid="{E75645D1-CE6F-49E3-9236-97AE5BAD53E8}"/>
    <hyperlink ref="D51" r:id="rId44" tooltip="George R. R. Martin" display="https://en.wikipedia.org/wiki/George_R._R._Martin" xr:uid="{3A8AC5D2-F1D0-4DB9-B54A-DEC6DF1B6DDE}"/>
    <hyperlink ref="D52" r:id="rId45" tooltip="Louise Penny" display="https://en.wikipedia.org/wiki/Louise_Penny" xr:uid="{B10C55C5-8515-41F9-8DF3-2AF5907BC2AD}"/>
    <hyperlink ref="C53" r:id="rId46" tooltip="Of Blood and Bone" display="https://en.wikipedia.org/wiki/Of_Blood_and_Bone" xr:uid="{AA47298C-44D7-40F8-AE1A-EB8F809D2432}"/>
    <hyperlink ref="D53" r:id="rId47" tooltip="Nora Roberts" display="https://en.wikipedia.org/wiki/Nora_Roberts" xr:uid="{DACD3953-0DC4-4BC6-A521-3D04D9A9F3F9}"/>
    <hyperlink ref="D54" r:id="rId48" tooltip="John Grisham" display="https://en.wikipedia.org/wiki/John_Grisham" xr:uid="{9FDF7CF2-D9B5-463D-B784-5F1F94C59814}"/>
    <hyperlink ref="G3" r:id="rId49" tooltip="Where the Crawdads Sing" display="https://en.wikipedia.org/wiki/The_Reckoning_(Grisham_novel)" xr:uid="{BD33F1D1-C9B8-40CB-8761-AEF30D2F10AC}"/>
    <hyperlink ref="H3" r:id="rId50" tooltip="John Grisham" display="https://en.wikipedia.org/wiki/John_Grisham" xr:uid="{9A8AF610-F50E-49E7-9BC2-6CDD689FFF40}"/>
    <hyperlink ref="H4" r:id="rId51" tooltip="David Baldacci" display="https://en.wikipedia.org/wiki/David_Baldacci" xr:uid="{56B8D006-0B5E-41ED-9F93-C4F1655D23AC}"/>
    <hyperlink ref="G5" r:id="rId52" tooltip="Verses for the Dead" display="https://en.wikipedia.org/wiki/Verses_for_the_Dead" xr:uid="{D591F49A-EA75-49F8-A06D-2DEB15ABDC1D}"/>
    <hyperlink ref="H6" r:id="rId53" tooltip="Danielle Steel" display="https://en.wikipedia.org/wiki/Danielle_Steel" xr:uid="{E404A9AC-10EC-48BD-97A9-DFF7993B0EB6}"/>
    <hyperlink ref="G7" r:id="rId54" display="https://en.wikipedia.org/wiki/Where_the_Crawdads_Sing" xr:uid="{9C4E02C5-B984-4020-BDD6-2ACABCC9E1B4}"/>
    <hyperlink ref="H7" r:id="rId55" tooltip="Delia Owens" display="https://en.wikipedia.org/wiki/Delia_Owens" xr:uid="{13A11241-F86E-4FDC-BAF6-3C6909072C55}"/>
    <hyperlink ref="H10" r:id="rId56" tooltip="Nora Roberts" display="https://en.wikipedia.org/wiki/Nora_Roberts" xr:uid="{9BE7A857-7164-4DF4-9A9B-FB1550BB8B4A}"/>
    <hyperlink ref="H21" r:id="rId57" tooltip="John Sandford (novelist)" display="https://en.wikipedia.org/wiki/John_Sandford_(novelist)" xr:uid="{BE959945-841C-4F28-9255-D2EEECAD6CB4}"/>
    <hyperlink ref="G22" r:id="rId58" tooltip="18th Abduction" display="https://en.wikipedia.org/wiki/18th_Abduction" xr:uid="{E7AB2BA7-A48F-4B40-8AC0-4F5A83245144}"/>
    <hyperlink ref="H29" r:id="rId59" tooltip="Elin Hilderbrand" display="https://en.wikipedia.org/wiki/Elin_Hilderbrand" xr:uid="{FE8B7FD0-0BFE-4F73-8321-5DE8B3AB1529}"/>
    <hyperlink ref="H32" r:id="rId60" tooltip="Nora Roberts" display="https://en.wikipedia.org/wiki/Nora_Roberts" xr:uid="{BB5172F0-BE4E-4E55-9171-7F199CB792B0}"/>
    <hyperlink ref="H33" r:id="rId61" tooltip="Daniel Silva (novelist)" display="https://en.wikipedia.org/wiki/Daniel_Silva_(novelist)" xr:uid="{44056261-8021-437D-AB4C-BB356D9398F5}"/>
    <hyperlink ref="H34" r:id="rId62" tooltip="David Baldacci" display="https://en.wikipedia.org/wiki/David_Baldacci" xr:uid="{EBAD902A-BE6F-4C38-B211-D43024660357}"/>
    <hyperlink ref="H39" r:id="rId63" tooltip="Louise Penny" display="https://en.wikipedia.org/wiki/Louise_Penny" xr:uid="{12CD2521-D95A-4A07-80FE-D43FF4D172F9}"/>
    <hyperlink ref="H40" r:id="rId64" tooltip="J. D. Robb" display="https://en.wikipedia.org/wiki/J._D._Robb" xr:uid="{3CED79AF-3425-4D72-9F73-D67998BB7AC5}"/>
    <hyperlink ref="G41" r:id="rId65" tooltip="The Institute (novel)" display="https://en.wikipedia.org/wiki/The_Institute_(novel)" xr:uid="{52AAC589-B89D-4072-927C-C64041F00689}"/>
    <hyperlink ref="H41" r:id="rId66" tooltip="Stephen King" display="https://en.wikipedia.org/wiki/Stephen_King" xr:uid="{CB7B62D8-4098-49A4-8864-AB052E7CC86F}"/>
    <hyperlink ref="G43" r:id="rId67" tooltip="The Water Dancer" display="https://en.wikipedia.org/wiki/The_Water_Dancer" xr:uid="{C86DA323-ABEC-4B0A-B94C-8988C50A44FC}"/>
    <hyperlink ref="H43" r:id="rId68" tooltip="Ta-Nehisi Coates" display="https://en.wikipedia.org/wiki/Ta-Nehisi_Coates" xr:uid="{13ECC185-CA14-4F30-9B44-C92CDA35435C}"/>
    <hyperlink ref="H44" r:id="rId69" tooltip="John Sandford (novelist)" display="https://en.wikipedia.org/wiki/John_Sandford_(novelist)" xr:uid="{44D94482-2B1E-4DC4-A5C9-44F5DD61AD54}"/>
    <hyperlink ref="H46" r:id="rId70" tooltip="John Grisham" display="https://en.wikipedia.org/wiki/John_Grisham" xr:uid="{C62C0ECF-D08F-43D0-9EDA-09622DDB6F14}"/>
    <hyperlink ref="H47" r:id="rId71" tooltip="Michael Connelly" display="https://en.wikipedia.org/wiki/Michael_Connelly" xr:uid="{32522AA0-8F5D-4F9B-99E2-167FC4BD104E}"/>
    <hyperlink ref="H48" r:id="rId72" tooltip="Lee Child" display="https://en.wikipedia.org/wiki/Lee_Child" xr:uid="{E1ACC022-0C8E-4719-8E4C-1DEA10D52C63}"/>
    <hyperlink ref="H50" r:id="rId73" tooltip="Janet Evanovich" display="https://en.wikipedia.org/wiki/Janet_Evanovich" xr:uid="{03AE00DE-E1AB-4392-860C-B782D0B6062E}"/>
    <hyperlink ref="K3" r:id="rId74" display="https://en.wikipedia.org/wiki/Where_the_Crawdads_Sing" xr:uid="{3A8F0EA9-7B43-4A3E-BDDF-5A56B7FB2D15}"/>
    <hyperlink ref="L3" r:id="rId75" tooltip="Delia Owens" display="https://en.wikipedia.org/wiki/Delia_Owens" xr:uid="{7AB93231-1D7C-476D-BEDD-BF72672DC32F}"/>
    <hyperlink ref="K8" r:id="rId76" tooltip="American Dirt" display="https://en.wikipedia.org/wiki/American_Dirt" xr:uid="{9CA6F2CE-7FB8-400B-A44A-D9B970781732}"/>
    <hyperlink ref="L8" r:id="rId77" tooltip="Jeanine Cummins" display="https://en.wikipedia.org/wiki/Jeanine_Cummins" xr:uid="{83164302-A966-4766-8936-661C174194A4}"/>
    <hyperlink ref="K10" r:id="rId78" tooltip="In Death" display="https://en.wikipedia.org/wiki/In_Death" xr:uid="{9592F8F9-446C-4540-A21D-FEE1F258C848}"/>
    <hyperlink ref="L10" r:id="rId79" tooltip="Nora Roberts" display="https://en.wikipedia.org/wiki/Nora_Roberts" xr:uid="{A7357547-B7FE-4394-BA60-85AA9F6EB768}"/>
    <hyperlink ref="K12" r:id="rId80" tooltip="One Minute Out (novel)" display="https://en.wikipedia.org/wiki/One_Minute_Out_(novel)" xr:uid="{1DFD9616-C0A0-4EA8-B57E-00330867F945}"/>
    <hyperlink ref="L12" r:id="rId81" tooltip="Mark Greaney (novelist)" display="https://en.wikipedia.org/wiki/Mark_Greaney_(novelist)" xr:uid="{4FEB66F8-4D3F-4E16-ACAE-2A44621CBE0E}"/>
    <hyperlink ref="L14" r:id="rId82" tooltip="Sarah J. Maas" display="https://en.wikipedia.org/wiki/Sarah_J._Maas" xr:uid="{5E939998-6279-44DD-AC73-D8AB34A5FE65}"/>
    <hyperlink ref="K15" r:id="rId83" tooltip="The Mirror and the Light" display="https://en.wikipedia.org/wiki/The_Mirror_and_the_Light" xr:uid="{DB553C9F-52EE-4B44-B8AB-6233BAE85DA7}"/>
    <hyperlink ref="L15" r:id="rId84" tooltip="Hilary Mantel" display="https://en.wikipedia.org/wiki/Hilary_Mantel" xr:uid="{542C8124-60A6-4CB9-8309-F4771B934498}"/>
    <hyperlink ref="L16" r:id="rId85" tooltip="Harlan Coben" display="https://en.wikipedia.org/wiki/Harlan_Coben" xr:uid="{107AE054-6C88-4792-A5C1-37C272E1626F}"/>
    <hyperlink ref="K17" r:id="rId86" tooltip="Little Fires Everywhere (novel)" display="https://en.wikipedia.org/wiki/Little_Fires_Everywhere_(novel)" xr:uid="{E7726D34-7F14-406B-B5E4-2DB0046F3C67}"/>
    <hyperlink ref="L17" r:id="rId87" tooltip="Celeste Ng" display="https://en.wikipedia.org/wiki/Celeste_Ng" xr:uid="{DA85E800-6C25-4C64-AD1E-DB099BB380E3}"/>
    <hyperlink ref="L20" r:id="rId88" tooltip="John Sandford (novelist)" display="https://en.wikipedia.org/wiki/John_Sandford_(novelist)" xr:uid="{B72AF407-3229-4C27-BD14-505383DB717C}"/>
    <hyperlink ref="L21" r:id="rId89" tooltip="David Baldacci" display="https://en.wikipedia.org/wiki/David_Baldacci" xr:uid="{17A18D94-9585-4A4E-914F-6867865A6000}"/>
    <hyperlink ref="L22" r:id="rId90" tooltip="John Grisham" display="https://en.wikipedia.org/wiki/John_Grisham" xr:uid="{EBA671C3-BBC4-4754-86CC-6D56AFC484BA}"/>
    <hyperlink ref="K23" r:id="rId91" tooltip="Women's Murder Club (novel series)" display="https://en.wikipedia.org/wiki/Women%27s_Murder_Club_(novel_series)" xr:uid="{BB52F051-E144-4D55-B266-DECD32501CB9}"/>
    <hyperlink ref="L23" r:id="rId92" tooltip="Maxine Paetro" display="https://en.wikipedia.org/wiki/Maxine_Paetro" xr:uid="{8EE7DFBA-8B4C-41E4-8C00-5BE843A7EE32}"/>
    <hyperlink ref="L26" r:id="rId93" tooltip="Nora Roberts" display="https://en.wikipedia.org/wiki/Nora_Roberts" xr:uid="{8B00B796-1E29-44AB-B892-C80651D65C4C}"/>
    <hyperlink ref="K27" r:id="rId94" tooltip="The Vanishing Half" display="https://en.wikipedia.org/wiki/The_Vanishing_Half" xr:uid="{F103FC2C-E4C2-4A3D-8084-55FFD5F5A51E}"/>
    <hyperlink ref="L27" r:id="rId95" tooltip="Brit Bennett" display="https://en.wikipedia.org/wiki/Brit_Bennett" xr:uid="{FCBD0788-019C-45BF-9816-BD110C5861E0}"/>
    <hyperlink ref="L28" r:id="rId96" tooltip="Brendan DuBois" display="https://en.wikipedia.org/wiki/Brendan_DuBois" xr:uid="{481FDD48-6AB2-4C3F-B070-7194731381CF}"/>
    <hyperlink ref="L29" r:id="rId97" tooltip="Elin Hilderbrand" display="https://en.wikipedia.org/wiki/Elin_Hilderbrand" xr:uid="{66502B43-9FC0-46C9-8D13-36E1A7CACAF2}"/>
    <hyperlink ref="L33" r:id="rId98" tooltip="Daniel Silva (novelist)" display="https://en.wikipedia.org/wiki/Daniel_Silva_(novelist)" xr:uid="{CE746BFA-0801-4297-955A-4B7EE4F64015}"/>
    <hyperlink ref="L34" r:id="rId99" tooltip="Brad Thor" display="https://en.wikipedia.org/wiki/Brad_Thor" xr:uid="{A623D22B-E87C-404A-8581-227FD80D7F6C}"/>
    <hyperlink ref="L35" r:id="rId100" tooltip="Catherine Coulter" display="https://en.wikipedia.org/wiki/Catherine_Coulter" xr:uid="{327D7AC4-2764-47B2-B696-4F20359B9B62}"/>
    <hyperlink ref="L38" r:id="rId101" tooltip="Danielle Steel" display="https://en.wikipedia.org/wiki/Danielle_Steel" xr:uid="{A2003603-D821-483A-A532-825699A1BD31}"/>
    <hyperlink ref="L39" r:id="rId102" tooltip="Sandra Brown" display="https://en.wikipedia.org/wiki/Sandra_Brown" xr:uid="{380363B2-C4B7-4059-B964-E3C5530214CE}"/>
    <hyperlink ref="L40" r:id="rId103" tooltip="Louise Penny" display="https://en.wikipedia.org/wiki/Louise_Penny" xr:uid="{91751006-6673-4840-BD70-C531787D1AAD}"/>
    <hyperlink ref="L41" r:id="rId104" tooltip="Nora Roberts" display="https://en.wikipedia.org/wiki/Nora_Roberts" xr:uid="{3CFAD0B6-A6E9-4ADC-A7DA-CC398DCDAE1C}"/>
    <hyperlink ref="L42" r:id="rId105" tooltip="Ken Follett" display="https://en.wikipedia.org/wiki/Ken_Follett" xr:uid="{E8BB2F36-E504-45FF-857F-546AA7F74305}"/>
    <hyperlink ref="L43" r:id="rId106" tooltip="Jodi Picoult" display="https://en.wikipedia.org/wiki/Jodi_Picoult" xr:uid="{4F027F5F-C72C-4622-9F08-1141780708C8}"/>
    <hyperlink ref="L44" r:id="rId107" tooltip="Nicholas Sparks" display="https://en.wikipedia.org/wiki/Nicholas_Sparks" xr:uid="{419855AD-AFC3-406F-ABC2-5A9539D44557}"/>
    <hyperlink ref="L45" r:id="rId108" tooltip="Elin Hilderbrand" display="https://en.wikipedia.org/wiki/Elin_Hilderbrand" xr:uid="{979BBB4E-FFF0-41AA-B6C9-4B374B6C0018}"/>
    <hyperlink ref="L49" r:id="rId109" tooltip="Janet Evanovich" display="https://en.wikipedia.org/wiki/Janet_Evanovich" xr:uid="{02CA43A6-6249-4220-BEF6-0475590B10AE}"/>
    <hyperlink ref="L50" r:id="rId110" tooltip="Michael Connelly" display="https://en.wikipedia.org/wiki/Michael_Connelly" xr:uid="{EDB8DFD9-FD7F-4878-B61C-7659A2390C88}"/>
    <hyperlink ref="K51" r:id="rId111" tooltip="Rhythm of War" display="https://en.wikipedia.org/wiki/Rhythm_of_War" xr:uid="{0DCE2723-76C2-41F6-8B7A-2BFB92E04C47}"/>
    <hyperlink ref="L51" r:id="rId112" tooltip="Brandon Sanderson" display="https://en.wikipedia.org/wiki/Brandon_Sanderson" xr:uid="{7BAFB417-AF13-4680-97B5-1CE6F77041F5}"/>
    <hyperlink ref="K52" r:id="rId113" tooltip="Ready Player Two" display="https://en.wikipedia.org/wiki/Ready_Player_Two" xr:uid="{19B9400E-7703-4AE5-8CE3-E2C624072BF7}"/>
    <hyperlink ref="L52" r:id="rId114" tooltip="Ernest Cline" display="https://en.wikipedia.org/wiki/Ernest_Cline" xr:uid="{D94EA6CA-11F1-4AA1-B0E0-CF1D66D2713C}"/>
    <hyperlink ref="O3" r:id="rId115" tooltip="A Time for Mercy" display="https://en.wikipedia.org/wiki/A_Time_for_Mercy" xr:uid="{2661ACC0-F65E-4B4F-9FF5-ECC6F057C1B4}"/>
    <hyperlink ref="P3" r:id="rId116" tooltip="John Grisham" display="https://en.wikipedia.org/wiki/John_Grisham" xr:uid="{398536E3-1C79-47F8-9EEB-07F775DAF436}"/>
    <hyperlink ref="Q3" r:id="rId117" tooltip="Doubleday (publisher)" display="https://en.wikipedia.org/wiki/Doubleday_(publisher)" xr:uid="{43649F81-E340-4588-8E23-62AD6B4D400A}"/>
    <hyperlink ref="O5" r:id="rId118" location="Bridgerton_series" tooltip="Julia Quinn" display="https://en.wikipedia.org/wiki/Julia_Quinn - Bridgerton_series" xr:uid="{28ED3600-3C6C-44DF-BF78-0E8A5B425B42}"/>
    <hyperlink ref="P5" r:id="rId119" tooltip="Julia Quinn" display="https://en.wikipedia.org/wiki/Julia_Quinn" xr:uid="{5831432B-F189-49B0-A3ED-EB9379B770AA}"/>
    <hyperlink ref="Q5" r:id="rId120" tooltip="Avon (publisher)" display="https://en.wikipedia.org/wiki/Avon_(publisher)" xr:uid="{FE8E6B65-E9D4-4B7B-ABF1-0DB214B0891B}"/>
    <hyperlink ref="Q9" r:id="rId121" display="https://en.wikipedia.org/wiki/Little,_Brown_and_Company" xr:uid="{E708026B-AD9D-46C4-9CE7-05ED030C35CD}"/>
    <hyperlink ref="P10" r:id="rId122" tooltip="Kristin Hannah" display="https://en.wikipedia.org/wiki/Kristin_Hannah" xr:uid="{9E263BAF-96E2-41D8-931F-D4C0DEC521E8}"/>
    <hyperlink ref="Q10" r:id="rId123" tooltip="St. Martin's Press" display="https://en.wikipedia.org/wiki/St._Martin%27s_Press" xr:uid="{938773AA-1987-4633-BACC-3AAE7C6E186D}"/>
    <hyperlink ref="O12" r:id="rId124" location="Books" tooltip="A Court of Thorns and Roses" display="https://en.wikipedia.org/wiki/A_Court_of_Thorns_and_Roses - Books" xr:uid="{5ED6260D-D66B-4822-9C49-1398BF6CD5B8}"/>
    <hyperlink ref="P12" r:id="rId125" tooltip="Sarah J. Maas" display="https://en.wikipedia.org/wiki/Sarah_J._Maas" xr:uid="{B750C527-CF4D-42F4-9AFB-32F161D3A05D}"/>
    <hyperlink ref="Q12" r:id="rId126" tooltip="Bloomsbury Publishing" display="https://en.wikipedia.org/wiki/Bloomsbury_Publishing" xr:uid="{ECAE8649-0188-4F73-AE05-53B81655C88C}"/>
    <hyperlink ref="P14" r:id="rId127" tooltip="Sister Souljah" display="https://en.wikipedia.org/wiki/Sister_Souljah" xr:uid="{88051C8B-A792-4D04-85DC-E9E30691F460}"/>
    <hyperlink ref="Q14" r:id="rId128" tooltip="Emily Bestler Books" display="https://en.wikipedia.org/wiki/Emily_Bestler_Books" xr:uid="{907E4561-0AF5-4653-9F78-DDC9B7CCA41F}"/>
    <hyperlink ref="P16" r:id="rId129" tooltip="Harlen Coben" display="https://en.wikipedia.org/wiki/Harlen_Coben" xr:uid="{7D2466CE-C410-47AA-BE14-4260C75A17BE}"/>
    <hyperlink ref="Q16" r:id="rId130" tooltip="Grand Central Publishing" display="https://en.wikipedia.org/wiki/Grand_Central_Publishing" xr:uid="{7BF8628A-D94D-47FF-8DDF-119DE561F345}"/>
    <hyperlink ref="O18" r:id="rId131" tooltip="The Hill We Climb" display="https://en.wikipedia.org/wiki/The_Hill_We_Climb" xr:uid="{CD8A074B-B2FD-40C4-8588-3644C2A79911}"/>
    <hyperlink ref="P18" r:id="rId132" tooltip="Amanda Gorman" display="https://en.wikipedia.org/wiki/Amanda_Gorman" xr:uid="{49F09F2E-3F9A-488C-A894-A2F24563BE45}"/>
    <hyperlink ref="P20" r:id="rId133" tooltip="John Sandford (novelist)" display="https://en.wikipedia.org/wiki/John_Sandford_(novelist)" xr:uid="{93A5ED96-7DB8-4C2B-80FD-E858D6812FC9}"/>
    <hyperlink ref="Q20" r:id="rId134" tooltip="G. P. Putnam's Sons" display="https://en.wikipedia.org/wiki/G._P._Putnam%27s_Sons" xr:uid="{D19C60EC-F5E0-474C-B945-C4769AB5400B}"/>
    <hyperlink ref="P21" r:id="rId135" tooltip="David Baldacci" display="https://en.wikipedia.org/wiki/David_Baldacci" xr:uid="{83462FC9-FA3B-4060-B88D-406800D72FA1}"/>
    <hyperlink ref="P23" r:id="rId136" tooltip="Maxine Paetro" display="https://en.wikipedia.org/wiki/Maxine_Paetro" xr:uid="{88155DD6-94DF-47FB-B4CE-2F43E071938C}"/>
    <hyperlink ref="P24" r:id="rId137" tooltip="Stacey Abrams" display="https://en.wikipedia.org/wiki/Stacey_Abrams" xr:uid="{ED27DEF9-13A4-45E0-ABCE-6DD1965F5E53}"/>
    <hyperlink ref="P25" r:id="rId138" tooltip="Laura Dave" display="https://en.wikipedia.org/wiki/Laura_Dave" xr:uid="{5B032351-751B-4F9F-8941-0C94027A6BA1}"/>
    <hyperlink ref="P26" r:id="rId139" tooltip="Nora Roberts" display="https://en.wikipedia.org/wiki/Nora_Roberts" xr:uid="{06441351-7650-4B3C-82E9-0CFC3152E26A}"/>
    <hyperlink ref="O27" r:id="rId140" tooltip="Freed: Fifty Shades Freed as Told by Christian (page does not exist)" display="https://en.wikipedia.org/w/index.php?title=Freed:_Fifty_Shades_Freed_as_Told_by_Christian&amp;action=edit&amp;redlink=1" xr:uid="{F33FFF91-6323-4066-B595-C7E48E605524}"/>
    <hyperlink ref="P27" r:id="rId141" tooltip="E. L. James" display="https://en.wikipedia.org/wiki/E._L._James" xr:uid="{8DAA5CCC-A9BA-4911-876A-11126C3BBB15}"/>
    <hyperlink ref="Q27" r:id="rId142" tooltip="Sourcebooks" display="https://en.wikipedia.org/wiki/Sourcebooks" xr:uid="{5B454E7A-DD35-48EF-96BB-9FD0EED4A6D4}"/>
    <hyperlink ref="P31" r:id="rId143" tooltip="Quentin Tarantino" display="https://en.wikipedia.org/wiki/Quentin_Tarantino" xr:uid="{A84389CD-964C-476B-BAC7-4458BB39AD73}"/>
    <hyperlink ref="Q31" r:id="rId144" tooltip="Harper Perennial" display="https://en.wikipedia.org/wiki/Harper_Perennial" xr:uid="{EC5B341B-F21D-44C3-9AFA-AC2F8134DCA5}"/>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1120D-5ACE-4007-AC95-618487CCE6CC}">
  <sheetPr codeName="Sheet9"/>
  <dimension ref="B1:G69"/>
  <sheetViews>
    <sheetView topLeftCell="C2" workbookViewId="0">
      <selection activeCell="D14" sqref="D14"/>
    </sheetView>
  </sheetViews>
  <sheetFormatPr defaultRowHeight="14.5" x14ac:dyDescent="0.35"/>
  <cols>
    <col min="2" max="2" width="32.26953125" bestFit="1" customWidth="1"/>
    <col min="3" max="3" width="21.08984375" bestFit="1" customWidth="1"/>
    <col min="5" max="5" width="21.26953125" bestFit="1" customWidth="1"/>
    <col min="6" max="6" width="4.1796875" customWidth="1"/>
    <col min="7" max="7" width="22.36328125" bestFit="1" customWidth="1"/>
  </cols>
  <sheetData>
    <row r="1" spans="2:7" x14ac:dyDescent="0.35">
      <c r="C1" t="s">
        <v>205</v>
      </c>
      <c r="E1" t="s">
        <v>266</v>
      </c>
    </row>
    <row r="2" spans="2:7" x14ac:dyDescent="0.35">
      <c r="B2" t="s">
        <v>204</v>
      </c>
      <c r="E2" t="str" cm="1">
        <f t="array" ref="E2:E24">_xlfn.UNIQUE(Table_0__4[Genre])</f>
        <v>Crime Mystery Novel</v>
      </c>
      <c r="G2" t="str" cm="1">
        <f t="array" ref="G2:G46">_xlfn.UNIQUE(E2:E69)</f>
        <v>Crime Mystery Novel</v>
      </c>
    </row>
    <row r="3" spans="2:7" x14ac:dyDescent="0.35">
      <c r="B3" s="10" t="s">
        <v>8</v>
      </c>
      <c r="C3" t="s">
        <v>7</v>
      </c>
      <c r="E3" t="str">
        <v>Thriller Fiction</v>
      </c>
      <c r="G3" t="str">
        <v>Thriller Fiction</v>
      </c>
    </row>
    <row r="4" spans="2:7" x14ac:dyDescent="0.35">
      <c r="B4" s="11" t="s">
        <v>10</v>
      </c>
      <c r="C4" s="13" t="s">
        <v>9</v>
      </c>
      <c r="E4" t="str">
        <v>Thriller Fiction Novel</v>
      </c>
      <c r="G4" t="str">
        <v>Thriller Fiction Novel</v>
      </c>
    </row>
    <row r="5" spans="2:7" x14ac:dyDescent="0.35">
      <c r="B5" s="10" t="s">
        <v>12</v>
      </c>
      <c r="C5" s="13"/>
      <c r="E5" t="str">
        <v>Mystery Thriller Fiction</v>
      </c>
      <c r="G5" t="str">
        <v>Mystery Thriller Fiction</v>
      </c>
    </row>
    <row r="6" spans="2:7" ht="15" thickBot="1" x14ac:dyDescent="0.4">
      <c r="B6" s="10" t="s">
        <v>199</v>
      </c>
      <c r="E6" t="str">
        <v>Romance Novel</v>
      </c>
      <c r="G6" t="str">
        <v>Romance Novel</v>
      </c>
    </row>
    <row r="7" spans="2:7" ht="15" thickBot="1" x14ac:dyDescent="0.4">
      <c r="B7" s="11" t="s">
        <v>16</v>
      </c>
      <c r="C7" s="23" t="str">
        <f>IFERROR(IF(Dashboard!$B$4=2018,VLOOKUP(Dashboard!$D$5,Table_0__4[[Author]:[Column2]],3,FALSE),IF(Dashboard!$B$4=2019,VLOOKUP(Dashboard!$D$5,Table_0__3[[Author]:[Column2]],3,FALSE),IF(Dashboard!$B$4=2020,VLOOKUP(Dashboard!$D$5,Table_0__2[[Author]:[Column2]],3,FALSE),IF(Dashboard!$B$4=2021,VLOOKUP(Dashboard!$D$5,'2021 NYT BSL'!#REF!,3,FALSE),"")))),"No Book")</f>
        <v>No Book</v>
      </c>
      <c r="E7" t="str">
        <v>Mystery Suspense Novel</v>
      </c>
      <c r="G7" t="str">
        <v>Mystery Suspense Novel</v>
      </c>
    </row>
    <row r="8" spans="2:7" ht="15" thickBot="1" x14ac:dyDescent="0.4">
      <c r="B8" s="10" t="s">
        <v>18</v>
      </c>
      <c r="C8" s="25" t="str">
        <f>IFERROR(IF(Dashboard!$B$4=2018,VLOOKUP(Dashboard!$D$5,Table_0__4[[Author]:[Column2]],2,FALSE),IF(Dashboard!$B$4=2019,VLOOKUP(Dashboard!$D$5,Table_0__3[[Author]:[Column2]],2,FALSE),IF(Dashboard!$B$4=2020,VLOOKUP(Dashboard!$D$5,Table_0__2[[Author]:[Column2]],2,FALSE),IF(Dashboard!$B$4=2021,VLOOKUP(Dashboard!$D$5,Table_0[[Author]:[Column1]],2,FALSE),"")))),"No Book")</f>
        <v>No Book</v>
      </c>
      <c r="E8" t="str">
        <v>Domestic Fiction Novel</v>
      </c>
      <c r="G8" t="str">
        <v>Domestic Fiction Novel</v>
      </c>
    </row>
    <row r="9" spans="2:7" x14ac:dyDescent="0.35">
      <c r="B9" s="11" t="s">
        <v>20</v>
      </c>
      <c r="E9" t="str">
        <v>Supernatural Fiction</v>
      </c>
      <c r="G9" t="str">
        <v>Supernatural Fiction</v>
      </c>
    </row>
    <row r="10" spans="2:7" x14ac:dyDescent="0.35">
      <c r="B10" s="11" t="s">
        <v>22</v>
      </c>
      <c r="E10" t="str">
        <v>Thriller</v>
      </c>
      <c r="G10" t="str">
        <v>Thriller</v>
      </c>
    </row>
    <row r="11" spans="2:7" x14ac:dyDescent="0.35">
      <c r="B11" s="10" t="s">
        <v>200</v>
      </c>
      <c r="E11" t="str">
        <v>Science Fiction</v>
      </c>
      <c r="G11" t="str">
        <v>Science Fiction</v>
      </c>
    </row>
    <row r="12" spans="2:7" x14ac:dyDescent="0.35">
      <c r="B12" s="11" t="s">
        <v>26</v>
      </c>
      <c r="E12" t="str">
        <v>Thriller Crime Fiction</v>
      </c>
      <c r="G12" t="str">
        <v>Thriller Crime Fiction</v>
      </c>
    </row>
    <row r="13" spans="2:7" x14ac:dyDescent="0.35">
      <c r="B13" s="10" t="s">
        <v>28</v>
      </c>
      <c r="E13" t="str">
        <v>Thriller Mystery Fiction</v>
      </c>
      <c r="G13" t="str">
        <v>Thriller Mystery Fiction</v>
      </c>
    </row>
    <row r="14" spans="2:7" x14ac:dyDescent="0.35">
      <c r="B14" s="11" t="s">
        <v>30</v>
      </c>
      <c r="E14" t="str">
        <v>Thriller Novel Fiction</v>
      </c>
      <c r="G14" t="str">
        <v>Thriller Novel Fiction</v>
      </c>
    </row>
    <row r="15" spans="2:7" x14ac:dyDescent="0.35">
      <c r="B15" s="10" t="s">
        <v>32</v>
      </c>
      <c r="E15" t="str">
        <v>Thriller Mystery Novel</v>
      </c>
      <c r="G15" t="str">
        <v>Thriller Mystery Novel</v>
      </c>
    </row>
    <row r="16" spans="2:7" x14ac:dyDescent="0.35">
      <c r="B16" s="11" t="s">
        <v>34</v>
      </c>
      <c r="E16" t="str">
        <v>Spy Thriller Fiction</v>
      </c>
      <c r="G16" t="str">
        <v>Spy Thriller Fiction</v>
      </c>
    </row>
    <row r="17" spans="2:7" x14ac:dyDescent="0.35">
      <c r="B17" s="10" t="s">
        <v>36</v>
      </c>
      <c r="E17" t="str">
        <v>Thriller Romance Novel</v>
      </c>
      <c r="G17" t="str">
        <v>Thriller Romance Novel</v>
      </c>
    </row>
    <row r="18" spans="2:7" x14ac:dyDescent="0.35">
      <c r="B18" s="11" t="s">
        <v>101</v>
      </c>
      <c r="E18" t="str">
        <v>Romance Comedy Novel</v>
      </c>
      <c r="G18" t="str">
        <v>Romance Comedy Novel</v>
      </c>
    </row>
    <row r="19" spans="2:7" x14ac:dyDescent="0.35">
      <c r="B19" s="10" t="s">
        <v>41</v>
      </c>
      <c r="E19" t="str">
        <v>Mystery Crime Novel</v>
      </c>
      <c r="G19" t="str">
        <v>Mystery Crime Novel</v>
      </c>
    </row>
    <row r="20" spans="2:7" x14ac:dyDescent="0.35">
      <c r="B20" s="11" t="s">
        <v>43</v>
      </c>
      <c r="E20" t="str">
        <v xml:space="preserve">Thriller Novel </v>
      </c>
      <c r="G20" t="str">
        <v xml:space="preserve">Thriller Novel </v>
      </c>
    </row>
    <row r="21" spans="2:7" x14ac:dyDescent="0.35">
      <c r="B21" s="10" t="s">
        <v>201</v>
      </c>
      <c r="E21" t="str">
        <v>Thriller Novel</v>
      </c>
      <c r="G21" t="str">
        <v>Thriller Novel</v>
      </c>
    </row>
    <row r="22" spans="2:7" x14ac:dyDescent="0.35">
      <c r="B22" s="10" t="s">
        <v>47</v>
      </c>
      <c r="E22" t="str">
        <v>Fantasy Fiction</v>
      </c>
      <c r="G22" t="str">
        <v>Fantasy Fiction</v>
      </c>
    </row>
    <row r="23" spans="2:7" x14ac:dyDescent="0.35">
      <c r="B23" s="11" t="s">
        <v>49</v>
      </c>
      <c r="E23" t="str">
        <v>Mystery Thriller</v>
      </c>
      <c r="G23" t="str">
        <v>Mystery Thriller</v>
      </c>
    </row>
    <row r="24" spans="2:7" x14ac:dyDescent="0.35">
      <c r="B24" s="10" t="s">
        <v>51</v>
      </c>
      <c r="E24" t="str">
        <v>Young Adult Fiction</v>
      </c>
      <c r="G24" t="str">
        <v>Young Adult Fiction</v>
      </c>
    </row>
    <row r="25" spans="2:7" x14ac:dyDescent="0.35">
      <c r="B25" s="10" t="s">
        <v>202</v>
      </c>
      <c r="G25">
        <v>0</v>
      </c>
    </row>
    <row r="26" spans="2:7" x14ac:dyDescent="0.35">
      <c r="B26" s="11" t="s">
        <v>56</v>
      </c>
      <c r="E26" t="str" cm="1">
        <f t="array" ref="E26:E40">_xlfn.UNIQUE(Table_0__3[Genre])</f>
        <v>Thriller Novel</v>
      </c>
      <c r="G26" t="str">
        <v>Thriller Mystery</v>
      </c>
    </row>
    <row r="27" spans="2:7" x14ac:dyDescent="0.35">
      <c r="B27" s="10" t="s">
        <v>58</v>
      </c>
      <c r="E27" t="str">
        <v>Romance Novel</v>
      </c>
      <c r="G27" t="str">
        <v>Historical Fiction</v>
      </c>
    </row>
    <row r="28" spans="2:7" x14ac:dyDescent="0.35">
      <c r="B28" s="11" t="s">
        <v>60</v>
      </c>
      <c r="E28" t="str">
        <v>Thriller Mystery Novel</v>
      </c>
      <c r="G28" t="str">
        <v>Thriller Spy Fiction</v>
      </c>
    </row>
    <row r="29" spans="2:7" x14ac:dyDescent="0.35">
      <c r="B29" s="10" t="s">
        <v>62</v>
      </c>
      <c r="E29" t="str">
        <v>Thriller Mystery</v>
      </c>
      <c r="G29" t="str">
        <v>Thriller Suspense Fiction</v>
      </c>
    </row>
    <row r="30" spans="2:7" x14ac:dyDescent="0.35">
      <c r="B30" s="11" t="s">
        <v>64</v>
      </c>
      <c r="E30" t="str">
        <v>Thriller Mystery Fiction</v>
      </c>
      <c r="G30" t="str">
        <v>Mystery Fiction</v>
      </c>
    </row>
    <row r="31" spans="2:7" x14ac:dyDescent="0.35">
      <c r="B31" s="10" t="s">
        <v>66</v>
      </c>
      <c r="E31" t="str">
        <v>Historical Fiction</v>
      </c>
      <c r="G31" t="str">
        <v>Horror Fiction</v>
      </c>
    </row>
    <row r="32" spans="2:7" x14ac:dyDescent="0.35">
      <c r="B32" s="11" t="s">
        <v>68</v>
      </c>
      <c r="E32" t="str">
        <v>Thriller Spy Fiction</v>
      </c>
      <c r="G32" t="str">
        <v>Thriller Science Fiction</v>
      </c>
    </row>
    <row r="33" spans="2:7" x14ac:dyDescent="0.35">
      <c r="B33" s="10" t="s">
        <v>70</v>
      </c>
      <c r="E33" t="str">
        <v>Thriller Suspense Fiction</v>
      </c>
      <c r="G33" t="str">
        <v>Thriller Adventure Fiction</v>
      </c>
    </row>
    <row r="34" spans="2:7" x14ac:dyDescent="0.35">
      <c r="B34" s="11" t="s">
        <v>72</v>
      </c>
      <c r="E34" t="str">
        <v>Mystery Thriller</v>
      </c>
      <c r="G34" t="str">
        <v>Novel</v>
      </c>
    </row>
    <row r="35" spans="2:7" x14ac:dyDescent="0.35">
      <c r="B35" s="10" t="s">
        <v>74</v>
      </c>
      <c r="E35" t="str">
        <v>Mystery Fiction</v>
      </c>
      <c r="G35" t="str">
        <v>Mystery Historical Fiction</v>
      </c>
    </row>
    <row r="36" spans="2:7" x14ac:dyDescent="0.35">
      <c r="B36" s="11" t="s">
        <v>76</v>
      </c>
      <c r="E36" t="str">
        <v>Horror Fiction</v>
      </c>
      <c r="G36" t="str">
        <v>Thriller Romantic</v>
      </c>
    </row>
    <row r="37" spans="2:7" x14ac:dyDescent="0.35">
      <c r="B37" s="10" t="s">
        <v>82</v>
      </c>
      <c r="E37" t="str">
        <v>Thriller Fiction</v>
      </c>
      <c r="G37" t="str">
        <v>Romantic Suspense Novel</v>
      </c>
    </row>
    <row r="38" spans="2:7" x14ac:dyDescent="0.35">
      <c r="B38" s="11" t="s">
        <v>84</v>
      </c>
      <c r="E38" t="str">
        <v>Fantasy Fiction</v>
      </c>
      <c r="G38" t="str">
        <v>Psychological Fiction</v>
      </c>
    </row>
    <row r="39" spans="2:7" x14ac:dyDescent="0.35">
      <c r="B39" s="10" t="s">
        <v>90</v>
      </c>
      <c r="E39" t="str">
        <v>Thriller</v>
      </c>
      <c r="G39" t="str">
        <v>Domestic Fiction</v>
      </c>
    </row>
    <row r="40" spans="2:7" x14ac:dyDescent="0.35">
      <c r="B40" s="10" t="s">
        <v>98</v>
      </c>
      <c r="E40" t="str">
        <v>Thriller Science Fiction</v>
      </c>
      <c r="G40" t="str">
        <v>Historical Fiction Novel</v>
      </c>
    </row>
    <row r="41" spans="2:7" x14ac:dyDescent="0.35">
      <c r="B41" s="11" t="s">
        <v>110</v>
      </c>
      <c r="G41" t="str">
        <v>Fiction</v>
      </c>
    </row>
    <row r="42" spans="2:7" x14ac:dyDescent="0.35">
      <c r="B42" s="11" t="s">
        <v>113</v>
      </c>
      <c r="E42" t="str" cm="1">
        <f t="array" ref="E42:E57">_xlfn.UNIQUE(Table_0__2[Genre])</f>
        <v>Romance Novel</v>
      </c>
      <c r="G42" t="str">
        <v>Poetry</v>
      </c>
    </row>
    <row r="43" spans="2:7" x14ac:dyDescent="0.35">
      <c r="B43" s="10" t="s">
        <v>195</v>
      </c>
      <c r="E43" t="str">
        <v>Thriller Fiction</v>
      </c>
      <c r="G43" t="str">
        <v>Adventure Fiction</v>
      </c>
    </row>
    <row r="44" spans="2:7" x14ac:dyDescent="0.35">
      <c r="B44" s="11" t="s">
        <v>117</v>
      </c>
      <c r="E44" t="str">
        <v>Thriller Mystery Fiction</v>
      </c>
      <c r="G44" t="str">
        <v>Thriller Suspense</v>
      </c>
    </row>
    <row r="45" spans="2:7" x14ac:dyDescent="0.35">
      <c r="B45" s="10" t="s">
        <v>119</v>
      </c>
      <c r="E45" t="str">
        <v>Thriller Adventure Fiction</v>
      </c>
      <c r="G45" t="str">
        <v>Suspense Thriller</v>
      </c>
    </row>
    <row r="46" spans="2:7" x14ac:dyDescent="0.35">
      <c r="B46" s="11" t="s">
        <v>121</v>
      </c>
      <c r="E46" t="str">
        <v>Fantasy Fiction</v>
      </c>
      <c r="G46" t="str">
        <v>Novelization</v>
      </c>
    </row>
    <row r="47" spans="2:7" x14ac:dyDescent="0.35">
      <c r="B47" s="10" t="s">
        <v>123</v>
      </c>
      <c r="E47" t="str">
        <v>Historical Fiction</v>
      </c>
    </row>
    <row r="48" spans="2:7" x14ac:dyDescent="0.35">
      <c r="B48" s="10" t="s">
        <v>130</v>
      </c>
      <c r="E48" t="str">
        <v>Novel</v>
      </c>
    </row>
    <row r="49" spans="2:5" x14ac:dyDescent="0.35">
      <c r="B49" s="11" t="s">
        <v>197</v>
      </c>
      <c r="E49" t="str">
        <v>Mystery Thriller</v>
      </c>
    </row>
    <row r="50" spans="2:5" x14ac:dyDescent="0.35">
      <c r="B50" s="11" t="s">
        <v>136</v>
      </c>
      <c r="E50" t="str">
        <v>Mystery Historical Fiction</v>
      </c>
    </row>
    <row r="51" spans="2:5" x14ac:dyDescent="0.35">
      <c r="B51" s="10" t="s">
        <v>138</v>
      </c>
      <c r="E51" t="str">
        <v>Thriller Mystery</v>
      </c>
    </row>
    <row r="52" spans="2:5" x14ac:dyDescent="0.35">
      <c r="B52" s="11" t="s">
        <v>144</v>
      </c>
      <c r="E52" t="str">
        <v>Thriller Romantic</v>
      </c>
    </row>
    <row r="53" spans="2:5" x14ac:dyDescent="0.35">
      <c r="B53" s="11" t="s">
        <v>198</v>
      </c>
      <c r="E53" t="str">
        <v>Mystery Fiction</v>
      </c>
    </row>
    <row r="54" spans="2:5" x14ac:dyDescent="0.35">
      <c r="B54" s="10" t="s">
        <v>154</v>
      </c>
      <c r="E54" t="str">
        <v>Romantic Suspense Novel</v>
      </c>
    </row>
    <row r="55" spans="2:5" x14ac:dyDescent="0.35">
      <c r="B55" s="10" t="s">
        <v>159</v>
      </c>
      <c r="E55" t="str">
        <v>Psychological Fiction</v>
      </c>
    </row>
    <row r="56" spans="2:5" x14ac:dyDescent="0.35">
      <c r="B56" s="11" t="s">
        <v>168</v>
      </c>
      <c r="E56" t="str">
        <v>Domestic Fiction</v>
      </c>
    </row>
    <row r="57" spans="2:5" x14ac:dyDescent="0.35">
      <c r="B57" s="11" t="s">
        <v>171</v>
      </c>
      <c r="E57" t="str">
        <v>Science Fiction</v>
      </c>
    </row>
    <row r="58" spans="2:5" x14ac:dyDescent="0.35">
      <c r="B58" s="11" t="s">
        <v>174</v>
      </c>
      <c r="E58" t="str" cm="1">
        <f t="array" ref="E58:E69">_xlfn.UNIQUE(Table_0[Genre])</f>
        <v>Thriller Fiction</v>
      </c>
    </row>
    <row r="59" spans="2:5" x14ac:dyDescent="0.35">
      <c r="B59" s="11" t="s">
        <v>182</v>
      </c>
      <c r="E59" t="str">
        <v>Romance Novel</v>
      </c>
    </row>
    <row r="60" spans="2:5" x14ac:dyDescent="0.35">
      <c r="B60" s="10" t="s">
        <v>184</v>
      </c>
      <c r="E60" t="str">
        <v>Historical Fiction Novel</v>
      </c>
    </row>
    <row r="61" spans="2:5" x14ac:dyDescent="0.35">
      <c r="B61" s="10" t="s">
        <v>188</v>
      </c>
      <c r="E61" t="str">
        <v>Fantasy Fiction</v>
      </c>
    </row>
    <row r="62" spans="2:5" x14ac:dyDescent="0.35">
      <c r="B62" s="11" t="s">
        <v>196</v>
      </c>
      <c r="E62" t="str">
        <v>Fiction</v>
      </c>
    </row>
    <row r="63" spans="2:5" x14ac:dyDescent="0.35">
      <c r="B63" s="10" t="s">
        <v>193</v>
      </c>
      <c r="E63" t="str">
        <v>Thriller Mystery</v>
      </c>
    </row>
    <row r="64" spans="2:5" x14ac:dyDescent="0.35">
      <c r="E64" t="str">
        <v>Poetry</v>
      </c>
    </row>
    <row r="65" spans="5:5" x14ac:dyDescent="0.35">
      <c r="E65" t="str">
        <v>Mystery Thriller</v>
      </c>
    </row>
    <row r="66" spans="5:5" x14ac:dyDescent="0.35">
      <c r="E66" t="str">
        <v>Adventure Fiction</v>
      </c>
    </row>
    <row r="67" spans="5:5" x14ac:dyDescent="0.35">
      <c r="E67" t="str">
        <v>Thriller Suspense</v>
      </c>
    </row>
    <row r="68" spans="5:5" x14ac:dyDescent="0.35">
      <c r="E68" t="str">
        <v>Suspense Thriller</v>
      </c>
    </row>
    <row r="69" spans="5:5" x14ac:dyDescent="0.35">
      <c r="E69" t="str">
        <v>Novelization</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36E36-D5FF-4B66-A7D4-07B1071C77C1}">
  <sheetPr codeName="Sheet10"/>
  <dimension ref="B2:C6"/>
  <sheetViews>
    <sheetView workbookViewId="0">
      <selection activeCell="F7" sqref="F7"/>
    </sheetView>
  </sheetViews>
  <sheetFormatPr defaultRowHeight="14.5" x14ac:dyDescent="0.35"/>
  <cols>
    <col min="2" max="2" width="9.453125" bestFit="1" customWidth="1"/>
  </cols>
  <sheetData>
    <row r="2" spans="2:3" x14ac:dyDescent="0.35">
      <c r="B2" s="8">
        <v>44384</v>
      </c>
      <c r="C2" t="s">
        <v>207</v>
      </c>
    </row>
    <row r="3" spans="2:3" x14ac:dyDescent="0.35">
      <c r="B3" s="8">
        <v>44385</v>
      </c>
      <c r="C3" t="s">
        <v>206</v>
      </c>
    </row>
    <row r="4" spans="2:3" x14ac:dyDescent="0.35">
      <c r="B4" s="8">
        <v>44389</v>
      </c>
      <c r="C4" t="s">
        <v>210</v>
      </c>
    </row>
    <row r="5" spans="2:3" x14ac:dyDescent="0.35">
      <c r="B5" s="8">
        <v>44390</v>
      </c>
      <c r="C5" t="s">
        <v>259</v>
      </c>
    </row>
    <row r="6" spans="2:3" x14ac:dyDescent="0.35">
      <c r="B6" s="8">
        <v>44391</v>
      </c>
      <c r="C6" t="s">
        <v>265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2"/>
  <sheetViews>
    <sheetView workbookViewId="0">
      <selection activeCell="A3" sqref="A3"/>
    </sheetView>
  </sheetViews>
  <sheetFormatPr defaultColWidth="8.6328125" defaultRowHeight="14.5" x14ac:dyDescent="0.35"/>
  <cols>
    <col min="1" max="16384" width="8.6328125" style="1"/>
  </cols>
  <sheetData>
    <row r="1" spans="1:7" x14ac:dyDescent="0.35">
      <c r="A1" s="89" t="s">
        <v>1</v>
      </c>
      <c r="B1" s="89"/>
      <c r="C1" s="89"/>
      <c r="D1" s="89"/>
      <c r="E1" s="89"/>
      <c r="F1" s="89"/>
      <c r="G1" s="89"/>
    </row>
    <row r="2" spans="1:7" x14ac:dyDescent="0.35">
      <c r="A2" s="90" t="s">
        <v>0</v>
      </c>
      <c r="B2" s="90"/>
      <c r="C2" s="90"/>
      <c r="D2" s="90"/>
      <c r="E2" s="90"/>
      <c r="F2" s="90"/>
      <c r="G2" s="90"/>
    </row>
  </sheetData>
  <mergeCells count="2">
    <mergeCell ref="A1:G1"/>
    <mergeCell ref="A2:G2"/>
  </mergeCells>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2"/>
  <sheetViews>
    <sheetView workbookViewId="0"/>
  </sheetViews>
  <sheetFormatPr defaultRowHeight="14.5" x14ac:dyDescent="0.35"/>
  <sheetData>
    <row r="1" spans="1:1" x14ac:dyDescent="0.35">
      <c r="A1" t="s">
        <v>2</v>
      </c>
    </row>
    <row r="2" spans="1:1" x14ac:dyDescent="0.35">
      <c r="A2" t="s">
        <v>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94F5AA7-3F5F-49F1-85EA-A9B1C65506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8</vt:i4>
      </vt:variant>
    </vt:vector>
  </HeadingPairs>
  <TitlesOfParts>
    <vt:vector size="21" baseType="lpstr">
      <vt:lpstr>Note for the TA</vt:lpstr>
      <vt:lpstr>Instructions</vt:lpstr>
      <vt:lpstr>Dashboard</vt:lpstr>
      <vt:lpstr>Data ----&gt;</vt:lpstr>
      <vt:lpstr>2018 NYT BSL</vt:lpstr>
      <vt:lpstr>2019 NYT BSL</vt:lpstr>
      <vt:lpstr>2020 NYT BSL</vt:lpstr>
      <vt:lpstr>2021 NYT BSL</vt:lpstr>
      <vt:lpstr>Backup-----&gt;</vt:lpstr>
      <vt:lpstr>Sheet2</vt:lpstr>
      <vt:lpstr>Sheet4</vt:lpstr>
      <vt:lpstr>Time Tracker</vt:lpstr>
      <vt:lpstr>Sheet1</vt:lpstr>
      <vt:lpstr>authors</vt:lpstr>
      <vt:lpstr>authors2018</vt:lpstr>
      <vt:lpstr>authors2019</vt:lpstr>
      <vt:lpstr>authors2020</vt:lpstr>
      <vt:lpstr>authors2021</vt:lpstr>
      <vt:lpstr>year</vt:lpstr>
      <vt:lpstr>year1</vt:lpstr>
      <vt:lpstr>year2</vt:lpstr>
    </vt:vector>
  </TitlesOfParts>
  <Company>Brigham Young University Idaho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Jayson Kunzler</dc:creator>
  <cp:lastModifiedBy>Tanner Allen</cp:lastModifiedBy>
  <dcterms:created xsi:type="dcterms:W3CDTF">2016-04-12T22:10:30Z</dcterms:created>
  <dcterms:modified xsi:type="dcterms:W3CDTF">2021-07-15T15:43:00Z</dcterms:modified>
</cp:coreProperties>
</file>